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sheetId="1" r:id="rId5"/>
    <sheet state="visible" name="Registro e Inventário" sheetId="2" r:id="rId6"/>
    <sheet state="visible" name="Jutsus" sheetId="3" r:id="rId7"/>
    <sheet state="visible" name="Classe" sheetId="4" r:id="rId8"/>
    <sheet state="visible" name="Clã" sheetId="5" r:id="rId9"/>
    <sheet state="visible" name="Anotações" sheetId="6" r:id="rId10"/>
    <sheet state="visible" name="Invocação" sheetId="7" r:id="rId11"/>
    <sheet state="visible" name="Banco de Dados" sheetId="8" r:id="rId12"/>
    <sheet state="visible" name="Modificadores" sheetId="9" r:id="rId13"/>
  </sheets>
  <definedNames>
    <definedName name="Sab">#REF!</definedName>
    <definedName name="Car">#REF!</definedName>
    <definedName name="Prof">#REF!</definedName>
    <definedName name="For">#REF!</definedName>
    <definedName name="Dex">#REF!</definedName>
    <definedName name="Int">#REF!</definedName>
    <definedName name="Con">#REF!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21">
      <text>
        <t xml:space="preserve">PC Máximo?
TRUE = Sim
FALSE = Não</t>
      </text>
    </comment>
    <comment authorId="0" ref="V21">
      <text>
        <t xml:space="preserve">PC adicional por NV
Classe = +0
Clã = +0
Talento = +0</t>
      </text>
    </comment>
    <comment authorId="0" ref="AQ41">
      <text>
        <t xml:space="preserve">Rank máximo: 5
Uma criatura Encantada aumenta sua atitude em relação a você em 1 rank, para cada Rank de Encantado que possui.
Uma criatura encantada sofre uma penalidade de -2 para Testes de perícia baseados em Inteligência e Sabedoria feitos contra seu encanto por cada rank que possui.
Uma criatura Encantada não pode realizar ações hostis em direção à fonte de seu encanto. Se eles quisessem sofrer um efeito hostil ou dano da fonte de seu encanto ou um de aliados de seu encanto, eles removem todas as classificações desta condição.
</t>
      </text>
    </comment>
    <comment authorId="0" ref="I38">
      <text>
        <t xml:space="preserve">PRESDIGITAÇÃO
AÇÕES NÃO PROFICIENTES
• Ocultar um objeto
Você pode ocultar um pequeno objeto autônomo sem ser notado.
Faça um único teste de habilidade de Destreza (Prestidigitação) contra criaturas que não estejam olhando diretamente para você (percepção passiva). Uma criatura que está observando você faz um teste de habilidade resistido usando sua Sabedoria (Percepção). Se vencerem sua prestidigitação, eles serão capazes de perceber sua tentativa de esconder o objeto.
• Roubar
Você pode tentar pegar um pequeno objeto de outro criatura sem ser notado.
Normalmente, você só pode roubar um objeto pequeno o suficiente para caber em uma mão, como uma bolsa de moedas, objeto pequeno ou algo semelhante, e falha automaticamente se a criatura que possui o objeto estiver em combate ou em guarda. Faça um teste de habilidade de Destreza (Prestidigitação) contra a percepção passiva do alvo.
Se o objeto estiver dentro dos bolsos ou roupas do alvo de alguma forma, você sofre uma penalidade de -5 no teste. O Mestre pode aplicar penalidades adicionais ao cheque se a natureza do objeto dificultar o roubo, como um item pequeno, em uma bolsa maior ou uma única folha de pergaminho misturada com outros documentos.
Com um sucesso, você é capaz de pegar o objeto e reivindicá-lo com uma única mão. Se houver outras criaturas dentro do mesmo sala, se alguma de suas percepções passivas superasse seu teste, eles perceberiam seu ato.
AÇÕES PROFICIENTES
• Desabilitar um(a) dispositivo/armadilha
Esta ação permite desarmar uma Armadilha ou outro dispositivo mecânico enquanto você tem acesso a um Kit de Armadilha ou outro Kit de Ferramentas necessário para desativar o dispositivo específico.
Faça um teste de habilidade de Destreza (Prestidigitação) contra a CD de Desabilitar encontrada com cada Dispositivo ou Armadilha individual. Se um dispositivo ou armadilha não tiver uma CD associada a ela, o Mestre pode escolher definir uma com base na tabela de CDs de teste de habilidade encontrada no Capítulo 6: Usando pontuações de habilidade. Em um sucesso, você é capaz de desativar o dispositivo/armadilha.
• Escolha uma fechadura
Esta ação permite abrir uma fechadura usando o Kit de segurança, seguindo as regras encontradas na seção Kit de Ferramenta de Segurança .</t>
      </text>
    </comment>
    <comment authorId="0" ref="AQ37">
      <text>
        <t xml:space="preserve">O deslocamento de uma criatura Restringida torna-se 0 e ela não pode se beneficiar de qualquer bônus em sua velocidade.
As jogadas de ataque contra a criatura têm vantagem e as jogadas de ataque da criatura têm desvantagem.
A criatura tem desvantagem no salvamento de Destreza.</t>
      </text>
    </comment>
    <comment authorId="0" ref="I34">
      <text>
        <t xml:space="preserve">NINSHOU
AÇÃO NÃO PROFICIENTE
• Pergaminhos de Ninjutsu lançados
Você pode lançar Ninjutsu de Pergaminhos que você encontrar, comprar ou fazer de Rank D ou menos.
Se você tiver proficiência, pode conjurar Ninjutsu de pergaminhos que encontrar, comprar ou fazer de rank B ou menos. 
Se você tiver maestria, você pode conjurar Ninjutsu de pergaminhos que você encontrar, comprar ou fazer de Rank S ou menos.
AÇÕES PROFICIENTES
• Ler o Inimigo
Você pode tentar ler as ações de um inimigo.
Como uma reação quando você vê um inimigo realizando qualquer série de Selos de Mão (SM) como parte dos componentes necessários para lançar um Ninjutsu. Faça um teste de habilidade de Inteligência (Ninshou) contra a CD da resistência do Ninjutsu do alvo. Em caso de sucesso, você percebe que o Jutsu está sendo lançado e ganha +2 na CA ou vantagem no teste de resistência feito para resistir até o final do tempo atual.
• Identificar Ninjutsu
Você pode tentar identificar um Ninjutsu que esteja afetando um objeto, área ou criatura.
Faça um teste de habilidade de Inteligência (Ninshou) contra a CD da resistência do jutsu +5. Com um sucesso, você se torna consciente do Ninjutsu e seus efeitos. Se o Ninjutsu for especial e tiver uma condição única necessária para encerrar seus efeitos, você também ficará ciente de que ele não pode ser encerrado por meios normais.</t>
      </text>
    </comment>
    <comment authorId="0" ref="C26">
      <text>
        <t xml:space="preserve">Use essa célula para estatística temporária</t>
      </text>
    </comment>
    <comment authorId="0" ref="AQ33">
      <text>
        <t xml:space="preserve">Rank máximo: 100
Uma criatura Lacerada é contada como Sangrando pelo propósitos de interagir com Recursos, Características e Jutsu.
No início do turno das criaturas laceradas, elas recebem 1d6 de dano necrótico.
Uma criatura lacerada não pode obter os benefícios de um descanso.
A criatura pode tentar parar a Laceração obter sucesso em um teste de Medicina CD 20 com um teste de kit de medicina.
Uma criatura com Rank de lacerado ganha um Rank de lacerado no final de seus turnos.
Uma criatura imune à condição de sangramento é imune à condição lacerada.
Fora do combate, a cada 10 minutos uma criatura sofre os efeitos desta condição como se um turno tivesse passado combate.</t>
      </text>
    </comment>
    <comment authorId="0" ref="AY41">
      <text>
        <t xml:space="preserve">Algumas habilidades especiais e riscos ambientais, como os efeitos a longo prazo do congelamento ou queimadura, pode levar a uma condição especial chamada exaustão.
Se uma criatura já exausta sofrer outro efeito que causa exaustão, seu nível atual de exaustão aumenta em 1 classificação.
Um efeito que remove a exaustão reduz sua classificação em 1.
Terminar um descanso longo reduz a exaustão da criatura em 1 nível, desde que a criatura também tenha ingerido um pouco de comida e bebida. Quando uma criatura excede 10 Ranks de exaustão, eles morrem.
Para cada nível de exaustão, uma criatura tem todos os as estatísticas a seguir são reduzidas em 1, e para cada dois níveis de exaustão a velocidade da criatura é reduzida em 1,5 metro (5 feet);
• Classe de Armadura
• Testes de Habilidade
• Testes de Resistência
• Rolagens de Ataque
• Rolagens de Dano
• CDs</t>
      </text>
    </comment>
    <comment authorId="0" ref="I30">
      <text>
        <t xml:space="preserve">INTUIÇÃO
AÇÃO NÃO PROFICIENTE
• Veja através das mentiras
Como uma Reação a uma criatura dizendo algo a você, você pode tentar fazer um teste de habilidade de Sabedoria (Intuição).
O Mestre deve fazer uma rolagem em segredo, mesmo que o alvo esteja dizendo a verdade, para evitar revelar quaisquer segredos de campanha em potencial com base na confirmação por omissão. Se o alvo estiver mentindo, o teste de Intuição é resistido pelo teste de Carisma (Enganação) do alvo. Em um sucesso, você percebe que o alvo está potencialmente contando uma mentira, embora você possa não estar totalmente ciente do contexto da mentira. Se você tiver uma prova inegável, não precisa fazer esse teste e optar por interpretar sem a necessidade de nenhum teste.
Você não pode fazer vários testes de Intuição contra a mesma declaração ou situação em caso de falha.
AÇÃO PROFICIENTE
• Sentir Motivo
Você pode tentar dizer se o comportamento de uma criatura é anormal.
Como Ação, escolha uma criatura que você possa ver e tente avaliá-la quanto a linguagem corporal estranha, nervosismo ou outros indicadores de que ela pode estar tentando enganar alguém.
O Mestre deve fazer uma rolagem em segredo, mesmo que o alvo não esteja fazendo nada estranho para evitar revelar quaisquer segredos de campanha em potencial com base na confirmação por omissão. Se o alvo estiver mentindo, o teste de Intuição é resistido pelo teste de Carisma (Enganação) do alvo.
Com um sucesso, você fica ciente das verdadeiras intenções potenciais do alvo e obtém uma ideia sólida de qualquer efeito baseado em chakra afetando-o, se houver. Você não pode tentar sentir o motivo da mesma criatura novamente até que a situação mude significativamente com base no critério do Mestre.</t>
      </text>
    </comment>
    <comment authorId="0" ref="Y13">
      <text>
        <t xml:space="preserve">1.5x o movimento</t>
      </text>
    </comment>
    <comment authorId="0" ref="Z13">
      <text>
        <t xml:space="preserve">2x o movimento</t>
      </text>
    </comment>
    <comment authorId="0" ref="AA13">
      <text>
        <t xml:space="preserve">3x o movimento</t>
      </text>
    </comment>
    <comment authorId="0" ref="AY37">
      <text>
        <t xml:space="preserve">Uma criatura surda não consegue ouvir e falha automaticamente qualquer verificação que exija audição.
Uma criatura Surdatem uma penalidade de -10 em Percepção.
Criaturas atualmente escondidas de uma criatura surda não tem necessidade rolar novamente testes de habilidade de Destreza (Furtividade) para manter Furtividade contra eles.
Testes de habilidade, rolagens de ataques e testes de resistência baseados em sabedoria são feitos em desvantagem.
Uma criatura pode voluntariamente cobrir os ouvidos por um longo período período de tempo como uma ação bônus. 
Fazer isso impõe isso a Condição e ocupa ambas as mãos até o início de seu próximo turno.</t>
      </text>
    </comment>
    <comment authorId="0" ref="I26">
      <text>
        <t xml:space="preserve">FURTIVIDADE
AÇÕES NÃO PROFICIENTES
• Ocultar
Você tenta se esconder usando cobertura, obscuridade pesada ou escuridão para se esconder. Quando você tentar se esconder, você faz um teste de habilidade de Destreza (Furtividade).
Este resultado é comparado à percepção passiva de todas as criaturas que não estão cientes de sua presença. Você não precisa refazer este teste de Destreza (Furtividade), desde que não tente se esgueirar ou se mover e permaneça perfeitamente imóvel no seu turno.
As criaturas que estão cientes de sua presença, mas não sabem de sua localização, podem escolher realizar a ação Procurar no turno delas para procurá-lo. Você não pode se esconder de uma criatura que pode vê-lo e, se fizer barulho (como gritar um aviso ou derrubar um vaso), você revela sua posição. Uma criatura invisível não pode ser vista, então sempre pode tentar se esconder.
Sinais de sua passagem ainda podem ser notados, no entanto, e ainda tem que ficar quieto. Uma vez que você é observado ou visto por uma criatura hostil, todas as criaturas aliadas a essa criatura também ficam cientes de sua posição.
GRÁFICO DE FURTIVIDADE
Status furtivo=======Efeito/Definição
Observando/Atentas=======Criaturas podem ver você. Você não está oculto ou não é detectado e não pode obter o benefício de nenhum deles.
Oculto/ InvisíveL========As criaturas estão cientes da sua presença, mas não podem vê-lo e não sabem sua localização.
Inconsciente/Não detectado=======As criaturas não têm consciência da sua presença e não sabem da sua localização. Enquanto não for detectado, você pode obter o benefício de surpreender uma criatura, desencadeando uma rodada surpresa.
• Esgueirar-se
Você só pode tentar se esgueirar enquanto estiver escondido ou sem ser detectado.
Quando você tenta se mover enquanto está escondido, também é chamado de esgueirar-se. Enquanto se esgueira, você só pode se mover até a metade de sua velocidade. Você também deve fazer um teste de habilidade de Destreza (Furtividade) que não pode ser refeito a menos que outro efeito o determine (você pode esgueirar-se enquanto escava, escala, voa ou nada).
O resultado do teste é comparado a todas as criaturas a até 9 metros de sua percepção passiva. Em caso de falha, eles percebem sua presença, mas você não é visto imediatamente. Em vez disso, eles podem começar a procurá-lo ativamente. Se o fizerem, você deve fazer outro teste de habilidade de Destreza (Furtividade) contra o teste de habilidade de Sabedoria (Percepção).
Se você passar, permanecerá invisível.
Em caso de falha, eles ficam cientes de sua localização e você passa a ser observado.</t>
      </text>
    </comment>
    <comment authorId="0" ref="AO25">
      <text>
        <t xml:space="preserve">Por favor, note que você pode apenas se curar até o seu PV máximos. 
Para que este cálculo esteja correto, você deve inserir apenas a quantidade que você seria curado até o seu PV máximo.
Ex.; O seu PV Max. é 10. 
Você atualmente possui 5 de PV. 
Você recebe uma cura de 20 de PV. 
Nesta tabela você irá adicionar apenas "5" na coluna de +PV.</t>
      </text>
    </comment>
    <comment authorId="0" ref="AY33">
      <text>
        <t xml:space="preserve">Rank máximo: 5
Uma criatura Chocada que realiza uma reação sofre 1d6 de dano de raio, para cada Rank que possui, uma vez por turno.
Uma criatura Chocada que realiza uma Reação para lançar um jutsu, deve primeiro fazer um teste simples (rolando um d20 puro) CD 8. Em caso de fracasso, ele dobra o custo do jutsu. Para cada Rank de chocado além do primeiro, aumente esta CD em +1 (CD máx. 12).
Uma criatura resistente a dano de Raio faz seu teste em vantagem e também tem resistência a essa condição. Uma criatura imune a dano elétrico tem imunidade a esta condição.
Uma criatura pode gastar uma Ação para fazer um teste de habilidade de constituição (Sobrevivência) CD 15, ou tentar se aterrar, dispersando a eletricidade em seu corpo acabando com essa condição.</t>
      </text>
    </comment>
    <comment authorId="0" ref="I22">
      <text>
        <t xml:space="preserve">ATLETISMO
AÇÕES NÃO PROFICIENTES
• Viagem
Como parte da mesma ação usada para fazer um ataque com arma, em um acerto você pode optar por abrir mão de sua arma/dano desarmado para derrubar uma criatura. Ao fazer isso, faça um teste de habilidade contestado de Força (Atletismo) contra o teste de habilidade de Destreza (Acrobacia) da criatura alvo. Em um sucesso, o alvo cai no chão.
• Agarrar
Como uma Ação, você pode tentar Agarrar uma criatura.
Quando você faz isso, o alvo deve fazer um teste habilidade contestado de Força (Atletismo) ou Destreza (Acrobacia) contra o seu teste de habilidade de Força (Atletismo). Em caso de sucesso (seu resultado sendo maior que o deles), a criatura fica Agarrada. Uma criatura Agarrada pode gastar uma Ação para refazer o teste contestado contra você. Se obtiver sucesso, eles escapam imediatamente, encerrando a condição Agarrado. Uma criatura Agarrada ou contida por você pode ser empurrada por você, usando a ação de habilidade Empurrar. Se uma criatura Agarrada ou Restringida for movida para mais de 1,5 metro de distância de você, qualquer uma das condições termina imediatamente.
Se você tem maestria em Atletismo, se o resultado do seu teste for maior que o resultado do teste contestado do seu alvo em 10 ou mais, a criatura será tratada como Restringida por você. Uma criatura Restringida ainda pode tentar escapar em desvantagem.
• Empurrar
Como parte da mesma ação usada para fazer um ataque com arma, em um acerto você pode optar por abrir mão de sua arma/dano desarmado para, em vez disso, empurrar uma criatura. Quando o fizer, faça um teste de habilidade resistido de Força (Atletismo) contra a criatura alvo. Em um sucesso, você empurra o alvo um metro e meio em qualquer direção. Se você superar o teste do alvo em 10 ou mais, em vez disso, você o empurra 3 metros.
Se você for Proficiente em Atletismo, em um sucesso, você empurra o alvo cinco vezes o seu modificador de Habilidade de Força. Se você vencer o teste do alvo por 10 ou mais, você adiciona + 1,5 metro adicionais para cada 5 pontos de diferença entre seu teste e o teste oposto.
Se você tiver maestria em Atletismo, em um sucesso, você empurra o alvo 10 vezes o seu modificador de habilidade de Força. Se você superar o teste do alvo em 10 ou mais, você adiciona +3 metros, para cada 5 pontos de diferença entre o seu teste e o teste do oponente.
AÇÃO PROFICIENTE
• Desarmar
No lugar de um dos ataques concedidos pela Ação de Ataque, você pode tentar Desarmar uma criatura. Ao fazer isso, faça um teste de habilidade contestado de Força (Atletismo) contra o teste de habilidade de Força (Atletismo) ou Destreza (Prestidigitação) da criatura alvo. Com um sucesso, você derruba um item que ele está segurando em qualquer uma das mãos e ele cai no chão. Se você vencer o teste em 10 ou mais, ele será derrubado a 3 metros ou mais de distância.</t>
      </text>
    </comment>
    <comment authorId="0" ref="AM13">
      <text>
        <t xml:space="preserve">Se o combate durar mais do que 10 turnos ou você terminar o combate e quiser guardar os Pontos de Vida/Pontos de Chakra que você tem, por favor copie o valor da linha do total nesta linha de salvo.
Para a linha de Salvo do topo, essa linha irá aplicar automaticamente os cálculos.
Para a linha de Salvo do fundo, essa linha não irá aplicar qualquer calculo por si mesmo e você irá apenas guardar os valores da informação para você.</t>
      </text>
    </comment>
    <comment authorId="0" ref="AY25">
      <text>
        <t xml:space="preserve">Por favor, note que você pode apenas se curar até o seu PV máximos. 
Para que este cálculo esteja correto, você deve inserir apenas a quantidade que você seria curado até o seu PV máximo.
Ex.; O seu PV Max. é 10. 
Você atualmente possui 5 de PV. 
Você recebe uma cura de 20 de PV. 
Nesta tabela você irá adicionar apenas "5" na coluna de +PV.</t>
      </text>
    </comment>
    <comment authorId="0" ref="AQ46">
      <text>
        <t xml:space="preserve">Rank máximo: 5
Uma criatura Selada aumenta o custo básico de chakra de Ninjutsu e Genjutsu em +2, para cada Rank que possui.
Uma criatura Selada sofre uma penalidade de -1 em todas as CDs de seus Ninjutsu e Genjutsu para cada Rank que possui.
Uma criatura pode gastar sua ação para fazer um teste de habilidade de Inteligência (Ninshou) ou de Sabedoria (Ilusões) CD 15 para remover 1 Rank desta condição. Para a cada +5 que seu resultado estiver acima da CD, eles removem 1 classificação adicional de Selado.</t>
      </text>
    </comment>
    <comment authorId="0" ref="O14">
      <text>
        <t xml:space="preserve">Insira quaisquer bônus de Iniciativa</t>
      </text>
    </comment>
    <comment authorId="0" ref="AQ42">
      <text>
        <t xml:space="preserve">Rank máximo: 5
Uma criatura com Concussão sofre uma penalidade de -1 em todos as CDs de seus testes de resistência para cada Rank que possui.
Uma criatura com Concussão sofre uma penalidade de -1 em todos os testes de habilidade e rolagens de ataque de inteligência, para cada Rank que possui.
Uma criatura com concussão não pode obter o benefício de um descanso.
Uma criatura pode gastar sua ação se tiver um Kit de remédios para faça um teste de habilidade de Sabedoria (Medicina) CD 20, finalizando esta condição em um sucesso.
</t>
      </text>
    </comment>
    <comment authorId="0" ref="I39">
      <text>
        <t xml:space="preserve">SOBREVIVÊNCIA
AÇÕES NÃO PROFICIENTES
• Direção do Sentido
Usando as estrelas, posição do sol, características geográficas como plantas, musgo e a direção dos córregos do rio, você pode tentar se manter orientado enquanto estiver na natureza. Uma vez por dia, ou a cada 8 horas (à escolha do Mestre), você pode tentar um teste de habilidade de Sabedoria (Sobrevivência) contra uma CD definida pelo Mestre com base na tabela de CDs do Teste de Perícia encontrada no Capítulo 6: Usando Valores de Habilidade. Mais incomum locais ou aqueles com os quais você não está familiarizado podem exigir que você tenha proficiência nesta perícia para tentar este teste com sucesso. Caso contrário, faça este teste com desvantagem se estiver em um ambiente totalmente estranho ou alienígena. Com um sucesso, você é capaz de obter uma excelente noção de onde você está, as direções cardeais em relação à sua posição atual e sabe exatamente onde você está em um mapa local.
Não treinado: Direções cardeais gerais ou uma floresta cultivada naturalmente.
Treinado: Um ambiente desértico, labirinto ou de um país estrangeiro.
Especialização: Navegar em um mundo alienígena, sempre mudando o reino dos sonhos, realidade alternativa ou dimensão diferente.
AÇÕES PROFICIENTEs
• Cobrir rastros
Você cobre seus rastros.
Reduza sua velocidade de deslocamento pela metade. Você não precisa tentar um teste de habilidade de Sabedoria (Sobrevivência) para cobrir seus rastros, mas qualquer um que tentar rastreá-lo deve fazer um teste de habilidade de Sabedoria (Sobrevivência) contra sua Sobrevivência Passiva. (10 + Bônus de Sobrevivência)
• Rastrear
Você tenta seguir rastros, movendo-se até a metade sua velocidade de viagem.
Faça um teste de habilidade de Sabedoria (Sobrevivência) contra a Sobrevivência Passiva do alvo, o resultado do Teste de Furtividade ou uma CD definida pelo Mestre com base na tabela de CD do Teste de Perícia encontrada no Capítulo 6: Usando Valores de Habilidade. Em um sucesso, você é capaz de rastrear uma única criatura por até 1 hora antes de precisar refazer este teste.</t>
      </text>
    </comment>
    <comment authorId="0" ref="AW13">
      <text>
        <t xml:space="preserve">Se o combate durar mais do que 10 turnos ou você terminar o combate e quiser guardar os Pontos de Vida/Pontos de Chakra que você tem, por favor copie o valor da linha do total nesta linha de salvo.
Para a linha de Salvo do topo, essa linha irá aplicar automaticamente os calculos.
Para a linha de Salvo do fundo, essa linha não irá aplicar qualquer calculo por si mesmo e você irá apenas guardar os valores da informação para você.</t>
      </text>
    </comment>
    <comment authorId="0" ref="C31">
      <text>
        <t xml:space="preserve">Use essa célula para estatística temporária</t>
      </text>
    </comment>
    <comment authorId="0" ref="O10">
      <text>
        <t xml:space="preserve">Clique se adicionar o Bônus de Proficiência inteiro.</t>
      </text>
    </comment>
    <comment authorId="0" ref="S14">
      <text>
        <t xml:space="preserve">Insira quaisquer bônus de Classe de Armadura</t>
      </text>
    </comment>
    <comment authorId="0" ref="AQ38">
      <text>
        <t xml:space="preserve">Uma criatura atordoada fica incapacitada (veja a condição), não consegue se mover e só consegue falar com hesitação.
A criatura falha automaticamente em e Testes de resistência de Força e Destreza.
As jogadas de ataque contra a criatura têm vantagem.</t>
      </text>
    </comment>
    <comment authorId="0" ref="P10">
      <text>
        <t xml:space="preserve">+1 se você usar Inteligência no lugar de Destreza
-1 se você usar Sabedoria no lugar de Destreza</t>
      </text>
    </comment>
    <comment authorId="0" ref="I35">
      <text>
        <t xml:space="preserve">PERCEPÇÃO
AÇÃO NÃO PROFICIENTE
• Pesquisar
Como uma ação, você pode fazer um teste de habilidade de Sabedoria (Percepção) contra a CD de Furtividade do alvo, destinada a discernir algo que não é óbvio.
Como perceber algo que está oculto</t>
      </text>
    </comment>
    <comment authorId="0" ref="Q10">
      <text>
        <t xml:space="preserve">Clique se adicionar +5 do talento alerta</t>
      </text>
    </comment>
    <comment authorId="0" ref="AQ34">
      <text>
        <t xml:space="preserve">Uma criatura desnorteada está se recuperando de um golpe poderoso e não pode realizar tantas ações como de costume.
Uma criatura desnorteada só pode se mover ou realizar uma ação, não ambos.
Uma criatura desnorteada não pode realizar uma ação bônus.
A Condição desnorteada dura até o Fim do período afetado próximo turno da criatura.</t>
      </text>
    </comment>
    <comment authorId="0" ref="AY42">
      <text>
        <t xml:space="preserve">• Uma criatura inconsciente está incapacitada (veja a condição), não consegue se mover ou falar e não tem consciência de sua arredores
• A criatura deixa cair tudo o que está segurando e cai propenso.
• A criatura falha automaticamente em Testes de resistência de Força e destreza.
• As jogadas de ataque contra a criatura têm vantagem.
• Qualquer ataque que atinja a criatura será um acerto crítico se o atacante estiver até 1,5 metro da criatura.
</t>
      </text>
    </comment>
    <comment authorId="0" ref="I31">
      <text>
        <t xml:space="preserve">INVESTIGAÇÃO
AÇÃO NÃO PROFICIENTE
• Estudo
Você começa a estudar suas memórias, um objeto, criatura, livro, pista ou outra fonte de foco.
Enquanto examina este alvo, você tenta vislumbrar informações de importação dele, como quais itens ele possui, o prejudicou, seu clã, antecedentes, afiliação, disposição em relação a você ou outros, raça (se não humano), composição ou qualquer outra peça de informação que você poderia reunir estudando algo. Você gasta 1 minuto estudando seu alvo.
Faça um teste de habilidade de Inteligência (Investigação) contra uma CD definida pelo Mestre com base na tabela de CDs de Testes de Perícia encontrada no Capítulo 6: Usando Valores de Habilidade. Com um sucesso, você é capaz de reunir uma informação específica que pode estar procurando ou algo que o Mestre esteja disposto a fornecer.
AÇÃO PROFICIENTE
• Pesquisa
Ao gastar qualquer quantidade de tempo entre 10 minutos e 8 horas, você começa a mergulhar profundamente em um tópico no qual está focado.
Se você gastar qualquer múltiplo de 10 minutos, até 1 hora você ganha +1 de bônus neste teste. Para cada hora gasta após a primeira, você ganha +1d4 de bônus neste teste. Enquanto pesquisa, você está procurando por segredos perdidos ou profundos perdidos para os outros. Faça um teste de habilidade de Inteligência (Investigação) contra uma CD definida pelo Mestre com base na tabela de CDs de Testes de Perícia encontrada no Capítulo 6: Usando Valores de Habilidade.
Com um sucesso, você pode obter uma parte importante do Conhecimento. Na maioria dos casos, o Mestre é encorajado a tornar o CD desta atividade desafiador para evitar qualquer realização anticlimática de informações</t>
      </text>
    </comment>
    <comment authorId="0" ref="AQ30">
      <text>
        <t xml:space="preserve">Rank máximo: 5
Uma criatura Ferida sofre uma penalidade de -1 em todos os testes de habilidade e rolagens de ataque baseados em Força, Destreza ou Constituição, para cada classificação que eles possuem.
Uma criatura ferida sofre +4 de dano adicional de todas as fontes de concussão ou dano de terra para cada classificação que possuem, uma vez por turno.
Criaturas imunes a concussão ou à Terra são imunes a esta condição.
Uma criatura que ganharia uma sexta (ou mais) graduações da condição ferida torna-se imediatamente cabaleante, terminando a condição ferida.
Uma Criatura pode gastar uma Ação para obter uma Força CD 15 (Medicina) Verifique para acabar com esta condição aplicando a quantidade adequada de pressão na ferida.</t>
      </text>
    </comment>
    <comment authorId="0" ref="AY38">
      <text>
        <t xml:space="preserve">Uma criatura cega não pode ter outra criatura como alvo, a menos que eles têm um sentido especial que não requer visão, como como Sentido Sísmico ou Detecção de Chakra.
Uma criatura cega não pode ver e falha automaticamente em qualquer Teste que requer visão.
Uma criatura cega tem desvantagem no teste de resistência de Destreza.
As jogadas de ataque contra uma criatura cega têm vantagem, e as jogadas de ataque de uma criatura cega têm desvantagem sem a ajuda de um sentido especial que não exija visão, como Sentido sísmico ou Detecção de Chakras.
Uma criatura pode fechar os olhos voluntariamente como uma ação livre por um longo período de tempo. Fazer isso impõe ia condição até o início do próximo turno, eles não podem reabrir os olhos até então, a menos que sejam forçado a fazê-lo por outros meios.</t>
      </text>
    </comment>
    <comment authorId="0" ref="I27">
      <text>
        <t xml:space="preserve">HISTÓRIA
AÇÃO NÃO PROFICIENTE
• Lembre-se do Conhecimento
Você tenta se lembrar de algo sobre um tópico específico relacionado à sua situação atual.
Como uma Ação ou Reação, você faz um teste de habilidade de Inteligência (História) contra uma CD definida pelo Mestre com base na tabela de CDs do Teste de Perícia encontrada no Capítulo 6: Usando Valores de Habilidade. Com um sucesso, você é capaz de lembrar detalhes específicos de um determinado cenário ou evento.</t>
      </text>
    </comment>
    <comment authorId="0" ref="AY34">
      <text>
        <t xml:space="preserve">Rank máximo: 5
Uma criatura ou objeto Envenenado recebe 1d6 de dano de veneno para cada Rank que possui, no início de cada um de seus turnos durante esta condição
Uma criatura Envenenada sofre uma penalidade de -1 em sua CA para cada Rank que possui.
Uma criatura Envenenada não pode obter os benefícios de um descanso.
Criaturas imunes a dano venenoso são imunes a condição envenenada.
Fora do combate, a cada hora uma criatura sofre o efeitos desta condição como se um turno tivesse passado em combate.</t>
      </text>
    </comment>
    <comment authorId="0" ref="I23">
      <text>
        <t xml:space="preserve">CONSTRUIR
AÇÃO NÃO PROFICIENTE
• Reparação Básica
Enquanto você tiver acesso a um kit de armeiro ou ferreiro, mesmo sem ser proficiente, você pode gastar 10 minutos consertando equipamentos danificados. Quando um efeito danifica permanentemente ou impõe uma penalidade em uma arma, você pode fazer um teste de habilidade de Inteligência (Construir) contra uma CD definida pelo Mestre com base na tabela de CDs de Verificação de Perícia encontrada no Capítulo 6: Usando Valores de Habilidade. Em com um sucesso, você é capaz de remover as penalidades negativas.
AÇÕES PROFICIENTES
• Crie um item aprimorado sem chakra
Você pode criar itens aprimorados usando o sem Chakra
• Fabricar armaduras ou selos de armas
Você pode criar armaduras ou selos de armas usando as Regras de criação de Armadura ou Selo de Arma.
• Identificar os selos
Como Reação ao ver uma arma com selos de Arma ou Armadura com selos de Armadura, você pode fazer um teste de Inteligência (Ofício). Vs O selo de classificação mais alta no item. CD (Rank D: 13, Rank C: 17, Rank B: 21, Rank A: 25, Rank S: 29). Com um sucesso, você percebe os selos na arma.
AÇÃO DE MAESTRIA
• Artesanato Superior
Você pode fabricar Armaduras e Armas de qualidade superior seguindo as regras de itens aprimorados sem chakra.
• Aprimorar Valor
Para cada semana de inatividade gasta na fabricação, aumente o valor de mercado dos itens que você pode fabricar em mais 150. Isso conta para os itens que você fabrica seguindo as regras de itens aprimorados sem chakra .</t>
      </text>
    </comment>
    <comment authorId="0" ref="AY30">
      <text>
        <t xml:space="preserve">Rank máximo: 5
• Uma Criatura ou objeto Queimado sofre 1d8 de dano de fogo para cada Rank que possui, no início de cada um de seus turnos.
• Uma criatura Queimada sofre -2 de penalidade no teste Concentração para cada Rank que possui.
• Criaturas imunes a dano de fogo são imunes a esta condição.
• Esta condição dura enquanto durar o efeito que infligiu ou 1 minuto se passou, o que ocorrer primeiro.
A criatura pode gastar uma Ação para fazer um tesde de habilidade de Destreza CD 15 (Sobrevivência) para apagar as chamas. Em um sucesso de verificação, ou submergindo completamente em um local com água, a condição termina.
</t>
      </text>
    </comment>
    <comment authorId="0" ref="I19">
      <text>
        <t xml:space="preserve">ACROBACIA
AÇÃO NÃO PROFICIENTE
• Manter o equilíbrio
Como uma Ação, ao entrar ou iniciar seu virar em uma superfície que é escorregadia, estreita ou de outra forma difícil de ficar de pé ou caminhar sem dificuldade (Isso inclui terreno difícil).
Você pode fazer um teste de habilidade de Destreza (Acrobacia) vs CD definido pelo Mestre com base na tabela de CD de Teste de Perícia encontrada no Capítulo 6: Usando Valores de Habilidade ou CD de salvamento do Jutsu se a causa do efeito for um Jutsu.
Se obtiver sucesso, até o final do turno atual, você será capaz de se mover pela superfície desafiadora normalmente, sem qualquer penalidade. Em caso de falha, você fica propenso.
AÇÕES PROFICIENTES
• Queda de Gato
Como reação, ao cair em qualquer distância superior a 3 metros onde você sofreria dano de queda, você pode usar sua agilidade graciosa para diminuir o impacto da queda. Quando você cair entre 3 e 9 metros, faça um teste de habilidade de Acrobacia usando uma CD Fácil à escolha do Mestre.
Quando você cair entre 9 e 15 metros, faça um teste de habilidade de Acrobacia usando uma CD Média à escolha do Mestre.
Quando você cair entre 15 e 21 metros, faça um teste de habilidade de Acrobacia usando uma CD Difícil à escolha do Mestre.
Quando você cair mais de 21 metros, faça um teste de habilidade de Acrobacia usando uma CD Muito Difícil à escolha do Mestre.
A tabela da CD de Teste de Habilidade pode ser encontrada no Capítulo 6: Usando Valores de Habilidade.
• Espremer
Como uma Ação, você se contorce para se espremer através de um espaço que seria considerado uma categoria de tamanho menor que você. Esta ação é para espaços que seriam extremamente difíceis de passar para uma pessoa, como uma separação muito fina entre paredes, um pequeno suporte que leva tempo e concentração para passar. Faça um teste de habilidade de Destreza (Acrobacia) contra uma CD definida pelo Mestre com base na tabela de CD de Teste de Perícia encontrada no Capítulo 6: Usando Valores de Habilidade.</t>
      </text>
    </comment>
    <comment authorId="0" ref="C36">
      <text>
        <t xml:space="preserve">Use essa célula para estatística temporária</t>
      </text>
    </comment>
    <comment authorId="0" ref="H40">
      <text>
        <t xml:space="preserve">Use cores para acompanhar de onde suas proficiências com perícias vem!
Recomendado:
Vermelho = Proficiência de Classe
Roxo = Proficiência de Clã
Amarelo = Proficiência de Antecedente
Laranja = Proficiência de Talento
Para colocar Aptidão, coloque um "e' na célula da proficiência.
Para colocar Maestria, coloque um 'm' seguido do nível de maestria. ex.: 'm1'
Se você tiver uma habilidade que mude o atributo usado na perícia, dê um clique duplo no atributo ao lado e selecione um atributo diferente</t>
      </text>
    </comment>
    <comment authorId="0" ref="AQ43">
      <text>
        <t xml:space="preserve">Rank máximo: 5
Uma criatura Confusa sofre uma penalidade de -1 em toda os testes de habilidades, ataques e testes de resistência baseados em Sabedoria para cada Rank que possui.
Uma criatura confusa que teria como alvo uma criatura hostil ou amigável com um ataque, jutsu, recurso ou característica (mesmo o alvo sendo eles mesmos) devem primeiro fazer um teste base (d20 puro) CD 8. Com uma falha, eles devem alvejar na criatura mais próxima deles, ignorando distinções de aliados ou hostis. Para cada Rank de Confuso além do primeiro, aumente esta CD em +1 (CD máx. 12).
Uma criatura Confusa não pode escolher alvos quando um jutsu, recurso ou característica lhes permitiria escolher. Todas as criaturas em alcance se torna o alvo, ignorando aliado ou hostil distinções.
Como uma Ação, uma criatura Confusa pode fazer um teste de habilidade de inteligência CD 15, terminando esta condição em um sucesso.</t>
      </text>
    </comment>
    <comment authorId="0" ref="AQ39">
      <text>
        <t xml:space="preserve">Rank máximo: 5
Uma criatura enfraquecida reduz o dano que causa com ataques e Jutsu em -4 para cada graduação que possui.
Uma criatura enfraquecida tem uma penalidade de -1 nos testes de resistência de Força.
A condição Enfraquecido tem uma duração de 1 minuto ou até o efeito acabar, o que ocorrer primeiro.</t>
      </text>
    </comment>
    <comment authorId="0" ref="I36">
      <text>
        <t xml:space="preserve">PERFORMANCE
AÇÃO NÃO PROFICIENTE
• Executar
Como uma ação, você começa uma performance de algum tipo, seja uma música, dança, algumas piadas, um discurso ou mesmo uma conversa animada.
Fazer uma performance raramente impacta diretamente uma situação por conta própria, em vez disso, influencia CDs de testes subsequentes de Persuasão, Intimidação ou Intuição contra os observadores ou até mesmo ajusta levemente suas atitudes, se o Mestre achar adequado.
Embora normalmente você possa atuar com a esperança de chamar a atenção de qualquer pessoa, com uma proficiência específica com atuação, você pode atrair a atenção de indivíduos específicos.
Não treinado: plebeus, artesãos, Genin
Treinado: Comerciantes, Nobres Menores, Chuunin
Especialização: Alta Nobreza, Realeza, Jounin</t>
      </text>
    </comment>
    <comment authorId="0" ref="AQ35">
      <text>
        <t xml:space="preserve">O deslocamento de uma criatura Agarrada torna-se 0 e ela não pode se beneficiar de qualquer bônus em sua velocidade.
A condição termina se a criatura agarrada estiver incapacitado (veja a condição).
A condição também termina se um efeito remover o criatura agarrada fora do alcance do agarrador ou efeito de agarrar.</t>
      </text>
    </comment>
    <comment authorId="0" ref="AY43">
      <text>
        <t xml:space="preserve">• Uma criatura petrificada é transformada, junto com qualquer objeto que está vestindo ou carregando, em um sólido inanimado substância (geralmente pedra). Seu peso aumenta em fator de dez, e deixa de envelhecer.
• A criatura está incapacitada (veja a condição), não pode mover ou falar e não tem consciência do que está ao seu redor.
• As jogadas de ataque contra a criatura têm vantagem.
• A criatura falha automaticamente em Testes de resistência de Força e destreza.
• A criatura tem resistência a todos os danos.
• A criatura é imune a veneno e doença, embora se um veneno ou doença já em seu sistema ele fica suspenso, não neutralizado.</t>
      </text>
    </comment>
    <comment authorId="0" ref="I32">
      <text>
        <t xml:space="preserve">MEDICINA
AÇÃO NÃO PROFICIENTE
• Administrar ajuda
Você começa a prestar os primeiros socorros básicos em outra criatura que está sangrando, machucada ou com uma concussão.
Como uma Ação, selecione qual condição você deseja abordar e faça um teste de habilidade de Sabedoria (Medicina) contra CD 15. Em um sucesso, e para cada 5 acima da CD, você remove 1 Nível de sangramento, machucado ou concussão. Você não pode administrar ajuda à mesma criatura mais de uma vez por descanso.
AÇÃO PROFICIENTE
• Tratar Feridas
Ao gastar pelo menos 10 minutos enquanto você tem acesso a um Kit de Medicamentos.: Esta Ação, embora exija um kit de Medicina, não gasta uma carga e pode ser usada em adição a qualquer um dos efeitos baseados na carga dos kits de Medicina que levam 10 ou mais minutos para serem concluídos. Você trata uma criatura viva ferida. Faça um teste de habilidade de Sabedoria (Medicina) contra a CD Tratar Ferimentos, com base nas condições do alvo. Os valores de condição são baseados na porcentagem de HP aproximada das metas. Uma criatura só pode obter o benefício desta Ação uma vez por descanso longo.
Se você tiver Especialização e vencer com sucesso a CD de Cura de Sucesso Crítico, poderá acessar os efeitos de Cura Crítica.
TABELA DE TRATAMENTO DE FERIDAS
Alvo Ferido==CD Cura==CD Cura Crítica==Cura Comum==Cura Crítica	
80%+==13==17==2d8+5==4d8+5	
60%+==18==22==2d8+10==4d8+10	
40%+==23==27==3d8+15==6d8+15	
20%+==28==32==3d10+20==6d10+20	
10%+==33==37==4d10+25==8d10+25	
Como ler/usar esta tabela – Quando você tentar uma ação Tratar Ferimentos , calcule o valor aproximado dos pontos de vida do alvo dividindo seus pontos de vida atuais pelo máximo. Quando você tiver esse valor, faça a verificação do medicamento. Compare seu resultado de verificação de remédios com este gráfico CD de Cura de Sucesso. Você pode selecionar qualquer valor de cura para o qual seu alvo se qualificaria, com base no resultado do teste. Por exemplo, se o seu alvo tiver 45% do HP restante, mas o resultado do seu teste for 20, você pode escolher 2d8+5 ou 2d8+10 de cura, mas não 3d8+15, porque você não venceu uma CD 23.</t>
      </text>
    </comment>
    <comment authorId="0" ref="AQ31">
      <text>
        <t xml:space="preserve">Rank máximo: 1
Uma criatura com Cambaleante é contada como Ferida 5 pelos propósitos de interagir com Recursos, Características e Jutsu e não pode ganhar graduações de machucado enquanto durar.
Uma criatura com Cambaleante não pode realizar o Desengajar, Correr ou realizar ações ou reações.
Uma criatura com Cambaleante sofre -5 de penalidade em todos os teste de habilidade e rolagens de ataque baseados em Força, Destreza e Constituição.
Uma criatura com Cambaleante sofre +20 de dano adicional de todas as fontes de concussão ou dano de terra, uma vez por turno.
Uma criatura com Cambaleante permanece atordoada até gastar um ação completa se recuperando, perdendo o Condição Cambaleante no início do seu turno após esta ação de giro completo.</t>
      </text>
    </comment>
    <comment authorId="0" ref="AY39">
      <text>
        <t xml:space="preserve">Você está sangrando ou às portas da morte. Você entrar automaticamente na condição de morrer quando você cair para 0 pontos de vida não morre como resultado de morte instantânea. Enquanto você tiver essa condição, você estará inconsciente. Sempre que você começar seu turno com 0 pontos de vida, você deve fazer um teste de resistência especial, chamado de salvamento mortal jogar, para determinar se você se aproxima da morte ou agarre-se à vida. Ao contrário de outros testes de resistência, este não é vinculado a qualquer valor de habilidade. Você está nas mãos do destino agora, auxiliado apenas por Jutsu e recursos que melhoram seu chances de sucesso em um teste de resistência. Role um d20. Se o resultado for 10 ou superior, você obteve sucesso. Caso contrário, você falha.
Um sucesso ou fracasso não tem efeito por si só. No seu terceiro sucesso, você se torna estável (veja abaixo). No seu terceiro fracasso, você morre. Os sucessos e fracassos não precisam ser consecutivo; acompanhe ambos até coletar três de um tipo. O número de salvamentos mortais bem-sucedidos é redefinido para zero quando você recupera quaisquer pontos de vida ou se torna estável. O número de falhas não é redefinido até que você conclua um breve descanso.
Rolando 1 ou 20. Quando você faz um teste de resistência à morte e rolar 1 no d20, conta como duas falhas. Se você rolar 20 no d20, você recupera 1 ponto de vida e remove dois testes de resistência à morte falhados na contagem.
Dano em 0 pontos de vida. Se você sofrer algum dano enquanto você tem 0 pontos de vida (por exemplo, pegando fogo porque seus membros foram todos decepados perto de um poço de lava), você sofre uma falha no teste de resistência à morte.
Se o o dano é de um acerto crítico, você sofre duas falhas em vez de. Se o dano for igual ou superior ao seu ponto de vida máximos, você sofre morte instantânea.</t>
      </text>
    </comment>
    <comment authorId="0" ref="I28">
      <text>
        <t xml:space="preserve">ILUSÕES
AÇÃO NÃO PROFICIENTE
• Pergaminhos de Genjutsu lançados
Você pode lançar Genjutsu de pergaminhos que você encontrar, comprar ou fazer de Rank D ou menos.
Se você tiver Proficiência, pode lançar Genjutsu de Pergaminhos que encontrar, comprar ou fazer de Rank B ou menos.
Se você tiver Maestria, você pode conjurar Genjutsu de pergaminhos que você encontrar, comprar ou fazer de Rank S ou menos.
AÇÕES PROFICIENTES
• Ler o Inimigo
Você pode tentar ler as ações de um inimigo.
Como um reação quando você vê um inimigo realizando qualquer série de Selos de Mão (SM) como parte dos componentes necessários para lançar um Genjutsu. Faça um teste de habilidade de Sabedoria ou Inteligência (Ilusões) contra a CD do teste de resistência do Genjutsu do alvo. Em um sucesso, você percebe que o Jutsu está sendo lançado e ganha +2 na CA ou vantagem no teste de resistência feito para resistir até o final do turno atual.
• Identificar Genjutsu
Você pode tentar identificar um Genjutsu atualmente afetando um objeto, área ou criatura. Faça um teste de habilidade de Sabedoria (Ilusões) contra a CD de resistência do jutsu +5. Com um sucesso, você fica ciente do Genjutsu e seus efeitos. Se o Genjutsu for especial e tiver uma condição única necessária para acabar com seus efeitos, você também fica ciente de que ele não pode ser encerrado por meios normais.</t>
      </text>
    </comment>
    <comment authorId="0" ref="AY35">
      <text>
        <t xml:space="preserve">É impossível ver uma criatura invisível sem o auxílio de poderes ou um sentido especial. Para o propósito de se esconder, a criatura fica fortemente obscurecida. O a localização da criatura pode ser detectada por qualquer ruído que ela faz ou quaisquer rastros que deixa.
As jogadas de ataque contra a criatura têm desvantagem, e as jogadas de ataque da criatura têm vantagem.</t>
      </text>
    </comment>
    <comment authorId="0" ref="I24">
      <text>
        <t xml:space="preserve">CONTROLE DE CHAKRA
AÇÕES PROFICIENTES
• Mantenha o foco
Como uma ação, você pode tentar manter o foco em qualquer Jutsu no qual esteja se concentrando. Quando fizer isso, faça um teste de habilidade de Constituição (Controle de Chakra) contra a CD de resistência do seu Jutsu. Em caso de sucesso, você não precisa fazer testes de controle de Chakra para manter concentração até o início do seu próximo turno.
• Suprimir Chakra
Ao gastar 1 minuto de foco, você pode suprimir sua assinatura de chakra. Quando fizer isso, você faz um teste de habilidade de Constituição (Controle de Chakra). Registrando o resultado. Criaturas cuja percepção passiva é menor que seu resultado não podem ver seu Chakra com Visão de Chakra. Além disso, efeitos que sentiriam sua assinatura de chakra (Técnica de Detecção, Olho Mental de Kagura etc.) não revelam ou sentem você automaticamente sem que o alvo supere seu resultado registrado como resultado de sua Perícia de Busca-Ação.
Este benefício dura 10 minutos ou até você gastar chakra ou um recurso semelhante a chakra (chakra branco, células Uzumaki, calorias, chakra sábio, etc.).
Após 10 minutos, você pode tentar novamente o teste de Controle de Chakra, com seu resultado sendo reduzido em -2 a cada vez até que você pare de usar a ação Suprimir Chakra.
AÇÃO DE MAESTRIA
• Reservas de Chakra
Ao passar 10 minutos concentrado, você poderá extrair parte do seu chakra de reserva. Faça um teste de habilidade de Constituição (Controle de Chakra). Contra um CD 20. Com sucesso e para cada 5 acima da CD que você rolar, você poderá gastar 1 dado de Chakra, recuperando o dado gasto como chakra.</t>
      </text>
    </comment>
    <comment authorId="0" ref="C16">
      <text>
        <t xml:space="preserve">Use essa célula para estatística temporária</t>
      </text>
    </comment>
    <comment authorId="0" ref="AY31">
      <text>
        <t xml:space="preserve">Rank máximo: 5
• Uma Criatura Resfriada tem seu corpo e nervos sobrecarregados por frio. Uma vez por turno, quando eles se moverem voluntariamente, eles sofrem 1d6 de dano de frio para cada Rank que ele tenha.
• O deslocamento de uma criatura Resfriada tem seu movimento reduzido em 1,5 metro para cada Rank que possui.
• Uma criatura sofre uma penalidade de -1 em todos os testes de habilidade e de resistência baseados em Destreza para cada Rank que possuem.
• Uma criatura resistente ou imune a dano de frio também tem resistência ou imunidade a esta condição. Esta condição dura pela duração do efeito que o infligiu ou após 1 minuto, o que ocorrer primeiro.</t>
      </text>
    </comment>
    <comment authorId="0" ref="I20">
      <text>
        <t xml:space="preserve">ADESTRAR ANIMAIS
AÇÃO NÃO PROFICIENTE
• Acalmar Animais
Como reação, ao encontrar uma fera hostil que possa ver e ouvir você, antes de qualquer ataque ou dano causado, você pode tentar acalmá-la. Faça um teste de habilidade de Sabedoria (Adestrar Animais) contra a (CD 8 + Nível do Alvo). Com um sucesso, você é capaz de acalmá-los e levá-los a um estado não hostil, fazendo com que eles potencialmente deixem você e seu grupo imediato em paz. Quaisquer ações agressivas ou hostis tomadas invalidam essas ações. Uma vez que uma criatura tenha iniciado combate, causou dano ou causou dano de qualquer forma às feras, esta disposição não hostil termina no criatura.
AÇÃO PROFICIENTE
• Domesticar Animais
Como uma Ação, enquanto luta ou interage com uma fera hostil ou fortemente danificada (menos de 25% de pontos de vida), você pode tentar fazer um teste de habilidade de Sabedoria (Adestrar Animais) contra uma CD (12 + nível do Alvo). Com um sucesso, você é capaz de domar a criatura, fazendo com que ela perceba sua força e o respeite a um nível maior. Esta fera, embora domesticada, ouvirá apenas seus comandos como uma ação bônus, mas não arriscará sua vida para protegê-lo, em vez disso, escolherá correr para preservar sua própria vida. Esta fera irá embora se você domesticar outra criatura.
AÇÃO DE MAESTRIA
• Treinar animais
Ao passar 1 semana de inatividade e fazer uma teste de habilidade de Sabedoria (Adestrar Animais) CD 25, você pode treinar um animal com o qual você tenha Domado ou Vinculado* . Quando você o fizer, com um sucesso, o animal aprende 1 Taijutsu ou Bukijutsu usando suas armas naturais no lugar do requisito de Componente de arma do Bukijutsu. Um animal só pode ter 1 Jutsu aprendido desta forma com você. Além disso, uma criatura que você treinou não sairá a menos que você tenha mais de duas criaturas domesticadas ao mesmo tempo. Uma criatura treinada que sai por ter mais de duas criaturas treinadas pode ser chamada de volta para o seu lado durante um Descanso Total.</t>
      </text>
    </comment>
    <comment authorId="0" ref="C41">
      <text>
        <t xml:space="preserve">Use essa célula para estatística temporária</t>
      </text>
    </comment>
    <comment authorId="0" ref="AQ44">
      <text>
        <t xml:space="preserve">Rank máximo: 5
Criaturas que ganhariam graduações de Medo (ou Assustado), ganhe um Rank de Desmoralizado.
Uma criatura Desmoralizada sofre uma penalidade de -1 em seus testes de resistência, para cada Rank que eles possuem.
Uma criatura Desmoralizada deve fazer testes de concentração no início de cada um de seus turnos para manter concentração em seu jutsu.
No final do turno das criaturas desmoralizadas elas fazem um Teste de habilidade de Carisma CD 13. Em caso de sucesso, eles removem 1 Rank de Desmoralizado. Para cada +2 seu resultado está acima do CD, eles removem 1 Rank adicional de Desmoralizado. Este teste de habilidade nunca poderá ser feito com penalidades de qualquer tipo (incluindo desvantagem). Após 10 minutos, uma criatura que ainda tem Ranks de Desmoralizado, perde todas os Ranks de Desmoralizado restantes.</t>
      </text>
    </comment>
    <comment authorId="0" ref="AQ40">
      <text>
        <t xml:space="preserve">Rank máximo: 5
Uma criatura em Fúria deve usar todas as ações e movimento para atacar/ferir a criatura mais próxima a ele que pode, percebendo como se aquela criatura fosse um inimigo mortal. Se múltiplas criaturas forem alvos potenciais, ela escolhe um aleatoriamente.
Quando uma criatura sai da área de ameaça de uma criatura furiosa, ela provoca um ataque de oportunidade.
Uma criatura Furiosa tem uma penalidade de -1 em todo os ataques e testes de resistência baseados em Carisma para cada Rank.
Criaturas que são imunes à condição encantado também são imunes à condição Fúria. Um jutsu que cura a condição encantada também cura esta condição.
Uma criatura Furiosa perde 1 Rank de Fúria no final do cada uma de suas rodadas enquanto sua mente clareia lentamente da Condição.</t>
      </text>
    </comment>
    <comment authorId="0" ref="I37">
      <text>
        <t xml:space="preserve">PERSUASÃO
AÇÕES NÃO PROFICIENTES
• Reunir informações
Você pesquisa comunidades locais, bares, mercados e locais de encontro na tentativa de aprender sobre um indivíduo ou tópico específico. Faça um teste de habilidade de Carisma (Persuasão) contra uma CD definida pelo Mestre com base na tabela de CDs do Teste de Perícia encontrada no Capítulo 6: Usando Valores de Habilidade.
Com um sucesso, você é capaz de reunir uma informação específica que pode ter sido procurando ou algo que o mestre esteja disposto a fornecer. Este processo normalmente leva de 2 a 3 horas.
• Faça uma Impressão/Solicitação
Com pelo menos 1 minuto de conversa, durante o qual você se envolve em lisonjas carismáticas e outros atos de boa vontade, você procura causar uma boa impressão em alguém para torná-lo agradável o suficiente para fazer um pedido formal a ele.
Faça um teste de habilidade de Carisma (Persuasão) contra o Bônus de Resistência de Sabedoria do alvo +10. Em caso de sucesso, o alvo concorda com seu pedido, mas também exige algo em troca. Se você vencer a CD por 10 ou mais, eles não pedem nada em troca. Em caso de falha, o alvo recusa, mas pode oferecer uma alternativa que seja mais benéfica para si.
AÇÃO PROFICIENTE
• Pechinchar
Você deseja se enganar bastante. Ao tentar comprar um item de um vendedor, você pode fazer um teste de habilidade de Carisma (Persuasão) contra a Visão Passiva do vendedor. Em caso de sucesso, o vendedor concorda em lhe dar um desconto igual a 2d4+5 por cento (%). Se você tiver sucesso por 10 ou mais, o vendedor concorda em lhe dar um desconto de 2d4+10 por cento. Dependendo da raridade do item que você está pechinchando, seu Mestre pode lhe conceder vantagem ou desvantagem. Se você falhar, não poderá tentar esta Ação Baseada em Perícia no vendedor pelas próximas 24 horas. Se você falhar por 5 ou mais, o vendedor aumenta o custo do item em 2d4+5 por cento. Cada vez que você tiver sucesso com esta Ação Baseada em Perícia, a CD aumenta em +5 pelas próximas 24 horas.
AÇÃO DE MAESTRIA
• Vender Mais
Você tenta usar suas habilidades de marketing ao vender um item para convencer o comprador a pagar mais dinheiro do que ele vale (veja as regras de venda no Capítulo 7: Aventuras e missões). Faça um teste de habilidade de Carisma (Persuasão) contra uma CD definida pelo Mestre com base na tabela de CDs de Teste de Habilidade encontrada no Capítulo 6: Usando Pontuações de Habilidade. Em caso de sucesso, o comprador concorda em lhe dar 50% a mais de Ryo. Se você falhar, o comprador não vê seu ângulo e deseja pagar o preço base. Se você falhar por 10 ou mais, o comprador pode perder o interesse e, se você tiver sucesso com esta Ação Baseada em Habilidade na última hora contra ele, ele exigirá o dinheiro que pagou a mais de volta.</t>
      </text>
    </comment>
    <comment authorId="0" ref="AQ36">
      <text>
        <t xml:space="preserve">A única opção de movimento de uma criatura Derrubada é rastejar, até metade de sua velocidade de movimento é incapaz de ganhar qualquer bônus em sua velocidade, a menos que levante-se e assim encerra a condição.
A criatura tem desvantagem em jogadas de ataque corpo a corpo.
A criatura tem desvantagem em jogadas de ataque à distância contra alvos num raio de 30 pés.
Uma jogada de ataque contra a criatura tem vantagem se o atacante está a até 1,5 metro da criatura ou da arma usada tem a propriedade de alcance. Caso contrário, a jogada de ataque tem desvantagem.</t>
      </text>
    </comment>
    <comment authorId="0" ref="AQ32">
      <text>
        <t xml:space="preserve">Rank máximo: 5
No início do turno, uma criatura sangrando sofre 1d4 de dano necrótico para cada Rank de Sangramento que eles possuem.
Uma criatura que ganharia um sexto Rank do Sangramento ganha imediatamente 1 Rank de Lacerado no lugar do Rank adicional de sangramento.
Uma criatura sangrando não pode obter os benefícios de um descanso.
A criatura pode tentar estancar o sangramento se obter sucesso em um teste de habilidade de Medicina CD 15.
Fora do combate, a cada 10 minutos uma criatura sofre os efeitos desta condição como se um turno de combate tivesse passado.</t>
      </text>
    </comment>
    <comment authorId="0" ref="AY40">
      <text>
        <t xml:space="preserve">Uma criatura Incapacitada não pode agir normalmente.
• Uma criatura Incapacitada não pode realizar ações ou reações.
• Uma criatura Incapacitada não pode manter a concentração.</t>
      </text>
    </comment>
    <comment authorId="0" ref="I29">
      <text>
        <t xml:space="preserve">INTIMIDAÇÃO
AÇÃO NÃO PROFICIENTE
• Coagir
Usando ameaças veladas ou abertas, você tenta intimidar uma criatura para que faça o que você deseja. Você só pode realizar esta ação fora do combate. Você deve passar pelo menos 1 minuto conversando com uma criatura que você possa ver. Após 1 minuto, tente um teste de habilidade contestado de Carisma (Intimidação) contra o teste de Resistência de Sabedoria do alvo. Seu Mestre pode fornecer bônus de circunstância a você ou ao alvo com base na situação ou ambiente. Se obtiver sucesso, o alvo executará o ato que você deseja que ele execute, mas provavelmente retaliará contra você de alguma forma. Se você vencer a CD por 10 ou mais, o alvo pode decidir não retaliar contra você no curto prazo.
AÇÃO PROFICIENTE
• Desmoralizar
Com uma provocação poderosa, um insulto ou mesmo uma gesto agressivo, você pode abalar a determinação de um inimigo. Com uma ação, escolha uma criatura que você possa ver a até 9 metros de você. Faça um teste de habilidade contestado de Carisma (Intimidação) contra Sabedoria ou Carisma (Intuição) do alvo. Se obtiver sucesso, o alvo ganha 1 Nível de medo contra você. Depois de usar esta ação de habilidade contra uma criatura duas vezes, você não poderá tentar novamente contra a mesma criatura por 1 hora, enquanto ela se acostuma com suas travessuras intimidadoras. Se você tiver 2 graduações de perícia em Intimidação e vencer a CD por 10 ou mais, o alvo ganha 2 graduações de Medo.</t>
      </text>
    </comment>
    <comment authorId="0" ref="C21">
      <text>
        <t xml:space="preserve">Use essa célula para estatística temporária</t>
      </text>
    </comment>
    <comment authorId="0" ref="AM24">
      <text>
        <t xml:space="preserve">Se o combate durar mais do que 10 turnos ou você terminar o combate e quiser guardar os Pontos de Vida/Pontos de Chakra que você tem, por favor copie o valor da linha do total nesta linha de salvo.
Para a linha de Salvo do topo, essa linha irá aplicar automaticamente os calculos.
Para a linha de Salvo do fundo, essa linha não irá aplicar qualquer calculo por si mesmo e você irá apenas guardar os valores da informação para você.</t>
      </text>
    </comment>
    <comment authorId="0" ref="AY36">
      <text>
        <t xml:space="preserve">Rank máximo: 5
Os olhos de uma criatura Ofuscada ficam sobrecarregados com flashes de cores, recebendo uma penalidade de -2 em todos os testes que dependem de visão para cada Rank que possui.
Uma criatura Ofuscada sofre uma penalidade de -2 nas jogadas de ataque por cada Rank que possui e não pode obter vantagem em  jogadas de ataque a Distância.
Uma criatura Ofuscada reduziu o alcance do conjuração de Jutsu e ataques à distância feitos em 4,5 metros para cada graduação que ele até um mínimo de 1,5 metro.
Uma criatura Ofuscada pode fazer um teste de habilidade de Constituição CD 15 como uma ação, para remover todas as graduações deste Condição.
</t>
      </text>
    </comment>
    <comment authorId="0" ref="I25">
      <text>
        <t xml:space="preserve">ENGANAÇÃO
AÇÕES NÃO PROFICIENTES
• Criar desvio
Com um gesto, truque ou combinação de palavras, você pode criar uma distração destinada a atrair criaturas atenção em outro lugar.
Faça um teste de Carisma (Enganação) contra as Percepções Passivas de todas as criaturas cuja atenção você está tentando desviar. Em um sucesso, todas as outras criaturas aliadas ganham um bônus de 1d6 em seus testes de furtividade.
• Mentira
Você tenta enganar alguém com uma falsa verdade.
Você pode tentar se passar por alguém ou algo que não é.
Você altera sua voz e ajusta seu sutaque para imitar o objeto de sua representação. Quando o fizer, faça um teste de Carisma (Enganação). O resultado deste teste torna-se a CD que todas as outras criaturas devem desafiar e derrotar. Teste de Carisma (Enganação) contra a percepção passiva de cada criatura para a qual você está tentando mentir. Em caso de sucesso, o(s) alvo(s) acredita(m) na sua mentira.
O Mestre pode optar por fornecer a eles bônus de circunstância com base na natureza da mentira que você está tentando contar. Mentiras elaboradas ou altamente inacreditáveis são muito mais difíceis de passar, e grandes mentiras elaboradas são muito mais difíceis de manter.
A critério do Mestre, se uma criatura inicialmente acreditar em sua mentira, ela pode tentar um teste contestado de Sabedoria (Intuição) ou Inteligência (História) contra os resultados anteriores de seu teste de Carisma (Enganação).
AÇÃO PROFICIENTE
• personificar
Você pode tentar se passar por alguém ou algo que não é.
Você altera sua voz e ajusta seus maneirismos para imitar o objeto de sua representação. Quando o fizer, faça um teste de Carisma (Enganação). O resultado deste teste torna-se a CD que todas as outras criaturas devem desafiar e derrotar.
veja através de sua representação, a menos que você exiba razões óbvias para não ser a pessoa que está representando. Criaturas que estão muito familiarizadas com o objeto de sua personificação têm vantagem em testes para ver através dessa personificação.
AÇÃO DE MAESTRIA
• Finta
Enquanto estiver enfrentando uma criatura hostil, você pode tentar um floreio enganoso de ataques falsos. Como uma ação bônus, faça um teste contestado usando Carisma (Enganação) versus Sabedoria (Intuição) do alvo. Se obtiver sucesso, seu próximo ataque corpo a corpo será realizado com um bônus de d4. Uma vez que você finta uma criatura, a próxima finta que você fizer será feita em desvantagem, a menos que você gaste 1 rodada inteira sem tentar fintar a criatura.</t>
      </text>
    </comment>
    <comment authorId="0" ref="AY32">
      <text>
        <t xml:space="preserve">Rank máximo: 5
Uma criatura Corroída recebe uma penalidade de -2 em sua RD (dano redução) para cada Rank que possui.
Uma criatura Corroída recebe -1 de penalidade em todo teste de habilidade e resistência baseados em Constituição para cada Rank que possui.
Uma criatura pode acabar com a condição corroída usando sua ação e fazendo um teste de destreza ou constituição CD 15 ou mergulhando totalmente em um local com água.</t>
      </text>
    </comment>
    <comment authorId="0" ref="I21">
      <text>
        <t xml:space="preserve">ARTES MARCIAIS
AÇÕES PROFICIENTES
• Ler o Inimigo
Você pode tentar ler as ações de um inimigo.
Como uma reação quando você vê um inimigo realizando qualquer série de movimentos corporais complexos (M) como parte dos componentes necessários para lançar um Taijutsu ou Bukijutsu. Faça um teste de Atletismo ou Inteligência (Artes Marciais) contra a CD do teste de Taijutsu do alvo.
Você normalmente não decide fazer um teste de resistência; você é forçado a fazer um porque seu personagem ou adversário corre o risco de se machucar.
Treinado: Um ambiente desértico, labirinto ou de um país estrangeiro. Em caso de sucesso, você percebe que o Jutsu está sendo lançado e ganha +2 na CA ou vantagem no teste de resistência feito para resistir até o final do tempo atual.
• Identificar Taijutsu/Bukijutsu
Você pode tentar identificar um Taijutsu ou Bukijutsu que esteja afetando um objeto, área ou criatura.
Faça um teste de Força ou Inteligência (Artes Marciais) contra a CD de resistência do jutsu +5. Com um sucesso, você se torna consciente do Ninjutsu e seus efeitos.
Se o Taijutsu ou Bukijutsu é especial e tem uma condição única necessária para acabar com seus efeitos, você também fica ciente de que não pode ser encerrado por meios normais.</t>
      </text>
    </comment>
    <comment authorId="0" ref="AW24">
      <text>
        <t xml:space="preserve">Se o combate durar mais do que 10 turnos ou você terminar o combate e quiser guardar os Pontos de Vida/Pontos de Chakra que você tem, por favor copie o valor da linha do total nesta linha de salvo.
Para a linha de Salvo do topo, essa linha irá aplicar automaticamente os calculos.
Para a linha de Salvo do fundo, essa linha não irá aplicar qualquer calculo por si mesmo e você irá apenas guardar os valores da informação para você.</t>
      </text>
    </comment>
    <comment authorId="0" ref="O21">
      <text>
        <t xml:space="preserve">PV Máximo?
TRUE = Sim
FALSE = Não
</t>
      </text>
    </comment>
    <comment authorId="0" ref="P21">
      <text>
        <t xml:space="preserve">PV adicional por NV
Classe = +0
Clã = +0
Talento = +0</t>
      </text>
    </comment>
    <comment authorId="0" ref="AQ45">
      <text>
        <t xml:space="preserve">Rank máximo: 5
Uma criatura Lenta tem sua velocidade reduzida em 3 metros para cada Rank que possui e não pode ganhar bônus de velocidade pala duração.
Uma criatura Lenta nunca pode fazer mais de um ataque ou conjurar mais de 1 jutsu por turno.
A condição Lenta dura a duração do jutsu origem ou 1 minuto, o que ocorrer primeiro.
eu tbm curto retardado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2">
      <text>
        <t xml:space="preserve">Todos os Shinobi têm uma base de 10 slots de inventário.
Um shinobi aumenta sua limitação de volume base em 2 para cada +1 que possui em seu Modificador de Habilidade de Força.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Use essas cores para rastrear de onde você tirou seu jutsu.</t>
      </text>
    </comment>
    <comment authorId="0" ref="AK8">
      <text>
        <t xml:space="preserve">Coloque esses emoticons para facilitar a reconhecer o jutsu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21">
      <text>
        <t xml:space="preserve">This jutsu is a D-Rank Earth Release Jutsu</t>
      </text>
    </comment>
    <comment authorId="0" ref="AB20">
      <text>
        <t xml:space="preserve">This jutsu is a D-Rank Earth Release Jutsu</t>
      </text>
    </comment>
    <comment authorId="0" ref="AB19">
      <text>
        <t xml:space="preserve">This jutsu is a D-Rank Earth Release Jutsu</t>
      </text>
    </comment>
    <comment authorId="0" ref="AB18">
      <text>
        <t xml:space="preserve">This jutsu is a D-Rank Earth Release Jutsu</t>
      </text>
    </comment>
    <comment authorId="0" ref="AB17">
      <text>
        <t xml:space="preserve">This jutsu is a D-Rank Earth Release Jutsu</t>
      </text>
    </comment>
    <comment authorId="0" ref="P4">
      <text>
        <t xml:space="preserve">As estatísticas básicas da sua invocação não podem ir além deste valor</t>
      </text>
    </comment>
    <comment authorId="0" ref="AB16">
      <text>
        <t xml:space="preserve">This jutsu is a D-Rank Earth Release Jutsu</t>
      </text>
    </comment>
    <comment authorId="0" ref="AR32">
      <text>
        <t xml:space="preserve">Os invocados recebem automaticamente proficiência em suas habilidades designadas, no entanto, se por acaso um invocado ganhar experiência em uma habilidade, altere o valor desta célula para 1 para conceder-lhe experiência.</t>
      </text>
    </comment>
    <comment authorId="0" ref="AB15">
      <text>
        <t xml:space="preserve">This jutsu is a D-Rank Earth Release Jutsu</t>
      </text>
    </comment>
    <comment authorId="0" ref="P2">
      <text>
        <t xml:space="preserve">Adicione os aumentos de ASI à coluna ASI da sua Invocação, e a planilha fará o resto do trabalho para você, com os cálculos de atributos.
Selecione sua característica no menu suspenso na seção "Característica de Função" desta página da planilha. Cada invocação recebe uma característica por nível para escolher.
</t>
      </text>
    </comment>
    <comment authorId="0" ref="X9">
      <text>
        <t xml:space="preserve">Sua invocação permanece enquanto tiver espaços de Jutsu. Ao atingir 0 espaços de Jutsu restantes, ela desaparece.</t>
      </text>
    </comment>
    <comment authorId="0" ref="AK21">
      <text>
        <t xml:space="preserve">Use esta célula para adicionar quaisquer características adicionais que sua invocação ganha graças aos recursos que você possui</t>
      </text>
    </comment>
    <comment authorId="0" ref="AC11">
      <text>
        <t xml:space="preserve">Jutsu Slot Increases</t>
      </text>
    </comment>
    <comment authorId="0" ref="AX32">
      <text>
        <t xml:space="preserve">Os invocados recebem automaticamente proficiência em suas habilidades designadas, no entanto, se por acaso um invocado ganhar experiência em uma habilidade, altere o valor desta célula para 1 para conceder-lhe experiência.</t>
      </text>
    </comment>
    <comment authorId="0" ref="AY32">
      <text>
        <t xml:space="preserve">Os invocados recebem automaticamente proficiência em suas habilidades designadas, no entanto, se por acaso um invocado ganhar experiência em uma habilidade, altere o valor desta célula para 1 para conceder-lhe experiência.</t>
      </text>
    </comment>
    <comment authorId="0" ref="AB7">
      <text>
        <t xml:space="preserve">Adicione aqui quaisquer aumentos temporários/outros de CA</t>
      </text>
    </comment>
    <comment authorId="0" ref="BE32">
      <text>
        <t xml:space="preserve">Os invocados recebem automaticamente proficiência em suas habilidades designadas, no entanto, se por acaso um invocado ganhar experiência em uma habilidade, altere o valor desta célula para 1 para conceder-lhe experiência.</t>
      </text>
    </comment>
    <comment authorId="0" ref="Z30">
      <text>
        <t xml:space="preserve">Your Summon can learn jutsu that meet these prerequisites
Shorthand:
Earth/Fire/Water/Wind/Lightning = Justu with the Earth/Fire/Water/Wind/Lightning Release Keyword
Tai = Taijutsu
Buki = Bukijutsu
Med = Medical
Nin = Ninjutsu
Gen = Genjutsu
Attack = Jutsu that make an attack roll
Slashing/Bludgeoing/Piercing Buki = Bukijutsu with a slashing, bludgeoning or peircing weapon component</t>
      </text>
    </comment>
    <comment authorId="0" ref="Z27">
      <text>
        <t xml:space="preserve">Creatures with Keen (Smell/Sight/Hearing) make Wisdom (Perception) checks using the Keen Sense at advantage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R44">
      <text>
        <t xml:space="preserve">Any additional damage dice.</t>
      </text>
    </comment>
    <comment authorId="0" ref="AK165">
      <text>
        <t xml:space="preserve">Due to the way the code is set up, you must repeat the latent features on the Realized column as well to get it to display all features
</t>
      </text>
    </comment>
    <comment authorId="0" ref="AC44">
      <text>
        <t xml:space="preserve">Miscellaneous bonuses to the Attack Roll</t>
      </text>
    </comment>
    <comment authorId="0" ref="O44">
      <text>
        <t xml:space="preserve">Whether or not you're proficient in the attack. Write 0 if you aren't, and anything else if you are.</t>
      </text>
    </comment>
    <comment authorId="0" ref="AF44">
      <text>
        <t xml:space="preserve">Miscellaneous bonuses to the Damage Roll</t>
      </text>
    </comment>
    <comment authorId="0" ref="Q44">
      <text>
        <t xml:space="preserve">Whether or not your Ability Mod is added to the Attack Roll. Put in anything if it is, and 0 if it isn't.</t>
      </text>
    </comment>
    <comment authorId="0" ref="Z165">
      <text>
        <t xml:space="preserve">Due to the way the code is set up, you must repeat the latent features on the Realized column as well to get it to display all features
</t>
      </text>
    </comment>
    <comment authorId="0" ref="AI44">
      <text>
        <t xml:space="preserve">Weapon qualities go here!</t>
      </text>
    </comment>
    <comment authorId="0" ref="U44">
      <text>
        <t xml:space="preserve">Whether or not your Ability Mod is added to the Damage. Put in anything if it is, and 0 if it isn't.</t>
      </text>
    </comment>
    <comment authorId="0" ref="H44">
      <text>
        <t xml:space="preserve">The amount of damage the attack deals.</t>
      </text>
    </comment>
    <comment authorId="0" ref="K44">
      <text>
        <t xml:space="preserve">What ability score the attack and damage rolls use.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Para Aumentos de movimento base apenas.</t>
      </text>
    </comment>
    <comment authorId="0" ref="A55">
      <text>
        <t xml:space="preserve">For flat bonuses, not additional dice or overrides</t>
      </text>
    </comment>
    <comment authorId="0" ref="A53">
      <text>
        <t xml:space="preserve">For flat bonuses, not additional dice or overrides</t>
      </text>
    </comment>
  </commentList>
</comments>
</file>

<file path=xl/sharedStrings.xml><?xml version="1.0" encoding="utf-8"?>
<sst xmlns="http://schemas.openxmlformats.org/spreadsheetml/2006/main" count="2426" uniqueCount="1158">
  <si>
    <t>Nome:</t>
  </si>
  <si>
    <t>Sasuke</t>
  </si>
  <si>
    <t>Classe:</t>
  </si>
  <si>
    <t>Ninja Batedor</t>
  </si>
  <si>
    <t>Level</t>
  </si>
  <si>
    <t>Prof</t>
  </si>
  <si>
    <t>Livros</t>
  </si>
  <si>
    <t>Manual shinobi</t>
  </si>
  <si>
    <t>Clã:</t>
  </si>
  <si>
    <t>Uchiha</t>
  </si>
  <si>
    <t>Sub-Classe:</t>
  </si>
  <si>
    <t>Estudos da Tsunade</t>
  </si>
  <si>
    <t>VONTADE   DO</t>
  </si>
  <si>
    <t>Observações do Orochimaru</t>
  </si>
  <si>
    <t>Equipe:</t>
  </si>
  <si>
    <t>Mod. Classe:</t>
  </si>
  <si>
    <t>XP</t>
  </si>
  <si>
    <t>XP Max</t>
  </si>
  <si>
    <t>Anotações do Jiraya</t>
  </si>
  <si>
    <t>Poderes Secretos</t>
  </si>
  <si>
    <t>Vila:</t>
  </si>
  <si>
    <t>Antecedente:</t>
  </si>
  <si>
    <t>Estudante</t>
  </si>
  <si>
    <t>FOGO</t>
  </si>
  <si>
    <t>Atibutos</t>
  </si>
  <si>
    <t>Testes de Salvamentos (CD)</t>
  </si>
  <si>
    <t>Total</t>
  </si>
  <si>
    <t>Teste de Morte</t>
  </si>
  <si>
    <t>Vida por Turno</t>
  </si>
  <si>
    <t>Chakra por Turno</t>
  </si>
  <si>
    <t>Força</t>
  </si>
  <si>
    <t>Base</t>
  </si>
  <si>
    <t>Sucesso</t>
  </si>
  <si>
    <t>Turno</t>
  </si>
  <si>
    <t>FOR</t>
  </si>
  <si>
    <t>Destreza</t>
  </si>
  <si>
    <t>Bônus</t>
  </si>
  <si>
    <t>Constituição</t>
  </si>
  <si>
    <t>INICIATIVA</t>
  </si>
  <si>
    <t>CA</t>
  </si>
  <si>
    <t>Impulso</t>
  </si>
  <si>
    <t>Falhas</t>
  </si>
  <si>
    <t>Salvo</t>
  </si>
  <si>
    <t>Inteligência</t>
  </si>
  <si>
    <t>Calc de Movimento</t>
  </si>
  <si>
    <t>Sabedoria</t>
  </si>
  <si>
    <t>Carisma</t>
  </si>
  <si>
    <t>PV Max:</t>
  </si>
  <si>
    <t>PC Max:</t>
  </si>
  <si>
    <t>NIN</t>
  </si>
  <si>
    <t>GEN</t>
  </si>
  <si>
    <t>TAI</t>
  </si>
  <si>
    <t>DES</t>
  </si>
  <si>
    <t>PERICIAS</t>
  </si>
  <si>
    <t>Acrobacia</t>
  </si>
  <si>
    <t>Des</t>
  </si>
  <si>
    <t>Adestrar Animais</t>
  </si>
  <si>
    <t>Sab</t>
  </si>
  <si>
    <t>Pontos de Vida Atual</t>
  </si>
  <si>
    <t>Pontos de Chakra Atual</t>
  </si>
  <si>
    <t>Artes Marciais</t>
  </si>
  <si>
    <t>For</t>
  </si>
  <si>
    <t>CD   NIN</t>
  </si>
  <si>
    <t>CD   GEN</t>
  </si>
  <si>
    <t>CD   TAI</t>
  </si>
  <si>
    <t>CON</t>
  </si>
  <si>
    <t>Atletismo</t>
  </si>
  <si>
    <t>Construir</t>
  </si>
  <si>
    <t>Int</t>
  </si>
  <si>
    <t>Base de Ataque</t>
  </si>
  <si>
    <t>Controle de Chakra</t>
  </si>
  <si>
    <t>Con</t>
  </si>
  <si>
    <t>PV TEMP.</t>
  </si>
  <si>
    <t>PC TEMP.</t>
  </si>
  <si>
    <t>(Arma ou Punho)</t>
  </si>
  <si>
    <t>Enganação</t>
  </si>
  <si>
    <t>Car</t>
  </si>
  <si>
    <t>Totais</t>
  </si>
  <si>
    <t>Furtividade</t>
  </si>
  <si>
    <t>Dados</t>
  </si>
  <si>
    <t>INT</t>
  </si>
  <si>
    <t>História</t>
  </si>
  <si>
    <t>Vida</t>
  </si>
  <si>
    <t>Chakra</t>
  </si>
  <si>
    <t>Classe</t>
  </si>
  <si>
    <t>Ilusão</t>
  </si>
  <si>
    <t>d</t>
  </si>
  <si>
    <t>Condições Ativas</t>
  </si>
  <si>
    <t>Intimidação</t>
  </si>
  <si>
    <t>Ativo</t>
  </si>
  <si>
    <t>Rank</t>
  </si>
  <si>
    <t>Nome da Condição</t>
  </si>
  <si>
    <t>Intuição</t>
  </si>
  <si>
    <t>Fisico</t>
  </si>
  <si>
    <t>Ferida</t>
  </si>
  <si>
    <t>Elemental</t>
  </si>
  <si>
    <t>Queimado</t>
  </si>
  <si>
    <t>Investigação</t>
  </si>
  <si>
    <t>Cambaleante</t>
  </si>
  <si>
    <t>Resfriado</t>
  </si>
  <si>
    <t>SAB</t>
  </si>
  <si>
    <t>Medicina</t>
  </si>
  <si>
    <t>Sangramento</t>
  </si>
  <si>
    <t>Corroido</t>
  </si>
  <si>
    <t>Natureza</t>
  </si>
  <si>
    <t>Lacerado</t>
  </si>
  <si>
    <t>Chocado</t>
  </si>
  <si>
    <t>Ninshou</t>
  </si>
  <si>
    <t>Passivas</t>
  </si>
  <si>
    <t>Desnorteado</t>
  </si>
  <si>
    <t>Envenenado</t>
  </si>
  <si>
    <t>Percepção</t>
  </si>
  <si>
    <t>PASSIVA</t>
  </si>
  <si>
    <t>Agarrado</t>
  </si>
  <si>
    <t>Sensorial</t>
  </si>
  <si>
    <t xml:space="preserve">Invisivel                        </t>
  </si>
  <si>
    <t>Performance</t>
  </si>
  <si>
    <t>Derrubado</t>
  </si>
  <si>
    <t>Ofuscado</t>
  </si>
  <si>
    <t>CAR</t>
  </si>
  <si>
    <t>Persuasão</t>
  </si>
  <si>
    <t>Restringido</t>
  </si>
  <si>
    <t>Surdo</t>
  </si>
  <si>
    <t>Prestidigitação</t>
  </si>
  <si>
    <t>PERCEPÇÃO</t>
  </si>
  <si>
    <t>INVESTIGAÇÃO</t>
  </si>
  <si>
    <t>INTUIÇÃO</t>
  </si>
  <si>
    <t>FURTIVIDADE</t>
  </si>
  <si>
    <t>Mental</t>
  </si>
  <si>
    <t>Atordoado</t>
  </si>
  <si>
    <t>Cego</t>
  </si>
  <si>
    <t>Sobrevivência</t>
  </si>
  <si>
    <t>Enfraquecido</t>
  </si>
  <si>
    <t>Variadas</t>
  </si>
  <si>
    <t>Morrendo</t>
  </si>
  <si>
    <t>Recomendações em nota</t>
  </si>
  <si>
    <t>Armas</t>
  </si>
  <si>
    <t>Fúria</t>
  </si>
  <si>
    <t>Incapacitado</t>
  </si>
  <si>
    <t>Para colocar Proficiência coloque um "1" na célula,
Para colocar Maestria coloque um "m" seguido do nível ex: "m1"</t>
  </si>
  <si>
    <t>Arma</t>
  </si>
  <si>
    <t>Dano</t>
  </si>
  <si>
    <t>Descrição</t>
  </si>
  <si>
    <t>Encantado</t>
  </si>
  <si>
    <t>Exaustão</t>
  </si>
  <si>
    <t>Kunai</t>
  </si>
  <si>
    <t>Concussão</t>
  </si>
  <si>
    <t>Inconsciênte</t>
  </si>
  <si>
    <t>Shuriken</t>
  </si>
  <si>
    <t>Confuso</t>
  </si>
  <si>
    <t>Petridicado</t>
  </si>
  <si>
    <t>Proficiencia em Armadura</t>
  </si>
  <si>
    <t>Leves, médias e Pesadas</t>
  </si>
  <si>
    <t>Tanto (Espada Curta)</t>
  </si>
  <si>
    <t>Desmoralizado</t>
  </si>
  <si>
    <t>Nenhum</t>
  </si>
  <si>
    <t>Lento</t>
  </si>
  <si>
    <t xml:space="preserve">• </t>
  </si>
  <si>
    <t>Proficiencia em Armas</t>
  </si>
  <si>
    <t>Simples e Marciais</t>
  </si>
  <si>
    <t>Selado</t>
  </si>
  <si>
    <t>Proficiencias adicionais</t>
  </si>
  <si>
    <t>Kit de Amostra</t>
  </si>
  <si>
    <t>RECURSOS / RECOMPENSAS DO JOGO</t>
  </si>
  <si>
    <t>Maestria em Armadura</t>
  </si>
  <si>
    <t>TdI Ganho:</t>
  </si>
  <si>
    <t>Exp Ganho:</t>
  </si>
  <si>
    <t>Ryo Ganho:</t>
  </si>
  <si>
    <t>TdI Gasto:</t>
  </si>
  <si>
    <t>Exp Gasto:</t>
  </si>
  <si>
    <t>Ryo Gasto:</t>
  </si>
  <si>
    <t>Maestria em Armas</t>
  </si>
  <si>
    <t>TdI Atual:</t>
  </si>
  <si>
    <t>Exp Atual:</t>
  </si>
  <si>
    <t>Ryo Atual:</t>
  </si>
  <si>
    <t>Maestrias adicionais</t>
  </si>
  <si>
    <t>Contador de Concentração 1</t>
  </si>
  <si>
    <t>Contador de Concentração 2</t>
  </si>
  <si>
    <t>Jutsu 1:</t>
  </si>
  <si>
    <t>Jutsu 2:</t>
  </si>
  <si>
    <t>Custo de Conj:</t>
  </si>
  <si>
    <t>Custo p/ Turno:</t>
  </si>
  <si>
    <t>Duração:</t>
  </si>
  <si>
    <t>Ações de habilidade</t>
  </si>
  <si>
    <t>CARACTERÍSTICAS DO CLÃ</t>
  </si>
  <si>
    <t>CARACTERÍSTICAS DA CLASSE</t>
  </si>
  <si>
    <t>CARACTERÍSTICAS DA SUB-CLASSE</t>
  </si>
  <si>
    <t>Talentos</t>
  </si>
  <si>
    <t>Nome</t>
  </si>
  <si>
    <t>INVENTÁRIO</t>
  </si>
  <si>
    <t>Classe de Armadura</t>
  </si>
  <si>
    <t>Aparência</t>
  </si>
  <si>
    <t>Idade</t>
  </si>
  <si>
    <t>Nome do Item</t>
  </si>
  <si>
    <t>Quant.</t>
  </si>
  <si>
    <t>Efeito</t>
  </si>
  <si>
    <t>Peso</t>
  </si>
  <si>
    <t>Natural</t>
  </si>
  <si>
    <t>Altura</t>
  </si>
  <si>
    <t>Armadura</t>
  </si>
  <si>
    <t>Proficiência</t>
  </si>
  <si>
    <t>Gênero</t>
  </si>
  <si>
    <t>Cabelos</t>
  </si>
  <si>
    <t>Outros</t>
  </si>
  <si>
    <t>Olhos</t>
  </si>
  <si>
    <t>Pele</t>
  </si>
  <si>
    <t>Bolsa</t>
  </si>
  <si>
    <t>Aura</t>
  </si>
  <si>
    <t>Roupas</t>
  </si>
  <si>
    <t>Ocupados</t>
  </si>
  <si>
    <t>Limite</t>
  </si>
  <si>
    <t>Tamanho</t>
  </si>
  <si>
    <t>Marcas</t>
  </si>
  <si>
    <t>Idiomas</t>
  </si>
  <si>
    <t>Ryos</t>
  </si>
  <si>
    <t>Traço do Antecedente</t>
  </si>
  <si>
    <t>Tipo</t>
  </si>
  <si>
    <t>Descriçao</t>
  </si>
  <si>
    <t>Ambição</t>
  </si>
  <si>
    <t>Shuriken Monstro</t>
  </si>
  <si>
    <t>Senbon</t>
  </si>
  <si>
    <t>Motivação</t>
  </si>
  <si>
    <t>Meta</t>
  </si>
  <si>
    <t>Medos</t>
  </si>
  <si>
    <t xml:space="preserve">Equipamento </t>
  </si>
  <si>
    <t>Bônus CA</t>
  </si>
  <si>
    <t>MOD</t>
  </si>
  <si>
    <t>Jaqueta de combate Shinobi</t>
  </si>
  <si>
    <t>História do Personagem</t>
  </si>
  <si>
    <t>Jaqueta de Combate</t>
  </si>
  <si>
    <t>Tempo de Inatividade</t>
  </si>
  <si>
    <t>Aprendendo</t>
  </si>
  <si>
    <t>TdI Gasto</t>
  </si>
  <si>
    <t>TdI Necessário</t>
  </si>
  <si>
    <t>=Jutsu</t>
  </si>
  <si>
    <t>Conhecidos pela Classe</t>
  </si>
  <si>
    <t>Ninjutsu</t>
  </si>
  <si>
    <t>Genjutsu</t>
  </si>
  <si>
    <t>Taijutsu</t>
  </si>
  <si>
    <t>=Fogo</t>
  </si>
  <si>
    <t>=Genjutsu</t>
  </si>
  <si>
    <t>=Jutsu TdI</t>
  </si>
  <si>
    <t>Ganhos da Classe</t>
  </si>
  <si>
    <t>=Vento</t>
  </si>
  <si>
    <t>=Taijutsu</t>
  </si>
  <si>
    <t>=Jutsu Classe</t>
  </si>
  <si>
    <t>Conhecidos do Clã</t>
  </si>
  <si>
    <t>=Água</t>
  </si>
  <si>
    <t>=Bukijutsu</t>
  </si>
  <si>
    <t>=Jutsu Talento</t>
  </si>
  <si>
    <t>Aprendidos</t>
  </si>
  <si>
    <t>CD | ATAQUE</t>
  </si>
  <si>
    <t>=Relâmpago</t>
  </si>
  <si>
    <t>=Medicinal</t>
  </si>
  <si>
    <t>=Jutsu Clã</t>
  </si>
  <si>
    <t>conhecido de Talentos</t>
  </si>
  <si>
    <t>Atributo</t>
  </si>
  <si>
    <t>=Terra</t>
  </si>
  <si>
    <t>=Fuinjutsu</t>
  </si>
  <si>
    <t>=Jutsu Recurso</t>
  </si>
  <si>
    <t>Total Jutsu Conhecidos</t>
  </si>
  <si>
    <t>=Mistura</t>
  </si>
  <si>
    <t>=Nenhum</t>
  </si>
  <si>
    <t>Origem do Jutsu</t>
  </si>
  <si>
    <t>Icone Chave</t>
  </si>
  <si>
    <t>Classificação</t>
  </si>
  <si>
    <t>Rank:</t>
  </si>
  <si>
    <t>Rank E</t>
  </si>
  <si>
    <t>Custo</t>
  </si>
  <si>
    <t>Tempo de Conjuração</t>
  </si>
  <si>
    <t>Alcance:</t>
  </si>
  <si>
    <t>Componentes:</t>
  </si>
  <si>
    <t>Palavra-chave:</t>
  </si>
  <si>
    <t>Em níveis superiores:</t>
  </si>
  <si>
    <t>Jutsus Conhecidos:</t>
  </si>
  <si>
    <t>Mod Classe:</t>
  </si>
  <si>
    <t>Recurso de Dado:</t>
  </si>
  <si>
    <t>Jutsu de Rank mais Alto:</t>
  </si>
  <si>
    <t>Caracteristicas:</t>
  </si>
  <si>
    <t>Estilo de Luta</t>
  </si>
  <si>
    <t>POSTURA DO PUNHO DO LOBO</t>
  </si>
  <si>
    <t>Astucia (Explorador Habil)</t>
  </si>
  <si>
    <t>Nivel:</t>
  </si>
  <si>
    <t>Custo:</t>
  </si>
  <si>
    <t>Descrição:</t>
  </si>
  <si>
    <t>Seu dano desarmado se torna um d6.
Seus ataques desarmados ganham propriedade de Bloqueio 1 de arma
Como ação, você executa o Punho Presa do Lobo.
Punho Presa de Lobo. Faça dois ataques desarmados, aumentando seu Dano Desarmado em +1.</t>
  </si>
  <si>
    <t>Escolha uma habilidade qualquer. Você ganha proficiência nessa habilidade. Se já tiver proficiência nessa habilidade, em vez disso, você ganha Perícia.</t>
  </si>
  <si>
    <t>Liberação Fogo</t>
  </si>
  <si>
    <t>Enquanto você estiver ganhando os benefícios de sua característica Sharingan, uma vez por rodada, você pode realizar uma Reação adicional. Você pode fazer isso um número de vezes igual ao número de Tomoes do seu Sharingan, por descanso longo.</t>
  </si>
  <si>
    <t>Defesa Amplificada</t>
  </si>
  <si>
    <t>Missões Completadas</t>
  </si>
  <si>
    <t>Rank D</t>
  </si>
  <si>
    <t>Rank C</t>
  </si>
  <si>
    <t>Rank B</t>
  </si>
  <si>
    <t>Rank A</t>
  </si>
  <si>
    <t>Rank S</t>
  </si>
  <si>
    <t>Rank S+</t>
  </si>
  <si>
    <t>Anotações da missão</t>
  </si>
  <si>
    <t>Recompença:</t>
  </si>
  <si>
    <t>Tempo de inatividade:</t>
  </si>
  <si>
    <t>Objetivo:</t>
  </si>
  <si>
    <t>Anotações</t>
  </si>
  <si>
    <t>NOME:</t>
  </si>
  <si>
    <t>Informações</t>
  </si>
  <si>
    <t>/</t>
  </si>
  <si>
    <t>S-Rank</t>
  </si>
  <si>
    <t>Pontos ASI</t>
  </si>
  <si>
    <t>HP</t>
  </si>
  <si>
    <t>Temp HP</t>
  </si>
  <si>
    <t>Traços da Função</t>
  </si>
  <si>
    <t>Traços Rank D</t>
  </si>
  <si>
    <t>ASI</t>
  </si>
  <si>
    <t>Velocidade</t>
  </si>
  <si>
    <t>JUTSU</t>
  </si>
  <si>
    <t>Traços Rank C</t>
  </si>
  <si>
    <t>Restante</t>
  </si>
  <si>
    <t>Maximo</t>
  </si>
  <si>
    <t>Traços Rank B</t>
  </si>
  <si>
    <t>JUTSU DA INVOCAÇÃO</t>
  </si>
  <si>
    <t>⛰️</t>
  </si>
  <si>
    <t>Example Jutsu</t>
  </si>
  <si>
    <t>Traços Rank A</t>
  </si>
  <si>
    <t>☯</t>
  </si>
  <si>
    <t>Animal</t>
  </si>
  <si>
    <t>Raposa</t>
  </si>
  <si>
    <t>Traços Rank S</t>
  </si>
  <si>
    <t>Tamanho:</t>
  </si>
  <si>
    <t>Medio</t>
  </si>
  <si>
    <t>Função:</t>
  </si>
  <si>
    <t>Defender</t>
  </si>
  <si>
    <t xml:space="preserve">Level da Invocação: </t>
  </si>
  <si>
    <t>º Level</t>
  </si>
  <si>
    <t>Traços Adicionais</t>
  </si>
  <si>
    <t xml:space="preserve">Tipo: </t>
  </si>
  <si>
    <t>Arma Natural</t>
  </si>
  <si>
    <t>Sentidos &amp; Jutsu Opcionais</t>
  </si>
  <si>
    <t>Salvamentos e habilidades</t>
  </si>
  <si>
    <t>Sentidos</t>
  </si>
  <si>
    <t>Jutsu Selecionados</t>
  </si>
  <si>
    <t>History</t>
  </si>
  <si>
    <t>Nome da Armadura</t>
  </si>
  <si>
    <t>Tipo de Armadura</t>
  </si>
  <si>
    <t>Mod de Habilidade</t>
  </si>
  <si>
    <t>Mod max</t>
  </si>
  <si>
    <t>Bônus da Armadura</t>
  </si>
  <si>
    <t>CA final</t>
  </si>
  <si>
    <t>Roupa</t>
  </si>
  <si>
    <t>Armadura Leve</t>
  </si>
  <si>
    <t>Pano acolchoado</t>
  </si>
  <si>
    <t>Tecido de couro</t>
  </si>
  <si>
    <t>Armadura Colchoada</t>
  </si>
  <si>
    <t>Couro Reforçado</t>
  </si>
  <si>
    <t>Tecido Sintético</t>
  </si>
  <si>
    <t>Tecido Shinobi</t>
  </si>
  <si>
    <t>Armadura Média</t>
  </si>
  <si>
    <t>Jaqueta Shinobi</t>
  </si>
  <si>
    <t>Jaqueta Chunin</t>
  </si>
  <si>
    <t>Casaco de Batalha</t>
  </si>
  <si>
    <t>Casaco Chunin Blindado</t>
  </si>
  <si>
    <t>Armadura de Combate</t>
  </si>
  <si>
    <t>Armadura Pesada</t>
  </si>
  <si>
    <t>Armadura Sintética</t>
  </si>
  <si>
    <t>Armadura Jounin</t>
  </si>
  <si>
    <t>Armadura de Elite Jounin</t>
  </si>
  <si>
    <t>Armadura Ronin</t>
  </si>
  <si>
    <t>Armadura Samurai</t>
  </si>
  <si>
    <t>Pele de Chakra</t>
  </si>
  <si>
    <t>Mod Habilidade</t>
  </si>
  <si>
    <t>Pele de Chakra (Rank B)</t>
  </si>
  <si>
    <t>Pele de Chakra (Rank S)</t>
  </si>
  <si>
    <t>Camada de poeira</t>
  </si>
  <si>
    <t>PROF</t>
  </si>
  <si>
    <t>Camada de poeira (Rank B)</t>
  </si>
  <si>
    <t>Camada de poeira (Rank S)</t>
  </si>
  <si>
    <t>Cota de malha</t>
  </si>
  <si>
    <t>Personalizado</t>
  </si>
  <si>
    <t>Terno de madeira</t>
  </si>
  <si>
    <t>Concha de Ferro</t>
  </si>
  <si>
    <t>Fortaleza de Aço</t>
  </si>
  <si>
    <t>Geo-Peitoral (Inteligência)</t>
  </si>
  <si>
    <t>Geo-Peitoral (Constituição)</t>
  </si>
  <si>
    <t>Defesa Marcial</t>
  </si>
  <si>
    <t>[[Custom Armor Below Here]]</t>
  </si>
  <si>
    <t>Custom</t>
  </si>
  <si>
    <t>ATAQUE/NOME DAS ARMAS</t>
  </si>
  <si>
    <t>DADO DE DANO</t>
  </si>
  <si>
    <t>MOD DE HABILIDADE</t>
  </si>
  <si>
    <t>ADICIONA PROF</t>
  </si>
  <si>
    <t>Add Ability Mod to Atk.</t>
  </si>
  <si>
    <t>Add Ability Mod to Dmg.</t>
  </si>
  <si>
    <t>Tipo de Dano</t>
  </si>
  <si>
    <t>Misc. Atk. Bonus</t>
  </si>
  <si>
    <t>Misc. Dmg. Bonus</t>
  </si>
  <si>
    <t>Qualities</t>
  </si>
  <si>
    <t>Extra Dice</t>
  </si>
  <si>
    <t>Final Atk. Bonus</t>
  </si>
  <si>
    <t>Final Dmg. Bonus</t>
  </si>
  <si>
    <t>Balistica de disparo Kunai</t>
  </si>
  <si>
    <t>3d6</t>
  </si>
  <si>
    <t>Perfuração</t>
  </si>
  <si>
    <t>Alcance (30/60), Carregamento, munição, Múltiplo ataque, Volátil 3</t>
  </si>
  <si>
    <t>Balistica de Shuriken</t>
  </si>
  <si>
    <t>3d8</t>
  </si>
  <si>
    <t>Alcance (120), Carregamento, Duas Mãos, munição, Múltiplo ataque, Volátil 5</t>
  </si>
  <si>
    <t>Fio de Batalha</t>
  </si>
  <si>
    <t>1d4</t>
  </si>
  <si>
    <t>Cortante</t>
  </si>
  <si>
    <t>Alcançar 2, Agarrar, Tropeçar, Sutileza, Especial</t>
  </si>
  <si>
    <t>Zarabatana</t>
  </si>
  <si>
    <t>Alcance (25/100), munição</t>
  </si>
  <si>
    <t>Bola</t>
  </si>
  <si>
    <t>Contundente</t>
  </si>
  <si>
    <t xml:space="preserve">Arremesso, Alcance (30/60), Tropeçar, munição
</t>
  </si>
  <si>
    <t>Boomerangue</t>
  </si>
  <si>
    <t>1d6</t>
  </si>
  <si>
    <t>Arremesso (60/90), Versátil (1d8), Retornável</t>
  </si>
  <si>
    <t>Espada larga</t>
  </si>
  <si>
    <t>Leve, Sutileza, Desarmar</t>
  </si>
  <si>
    <t>Kusarigama (Foice de Mão Acorrentada)</t>
  </si>
  <si>
    <t>2d4</t>
  </si>
  <si>
    <t>Alcançar 1, Agarrar, Sutileza, Tático, Duas Mãos, Acorrentado</t>
  </si>
  <si>
    <t>Lança Acorrentada</t>
  </si>
  <si>
    <t>1d10</t>
  </si>
  <si>
    <t>Alcançar 1, Tropeçar, Agarrar</t>
  </si>
  <si>
    <t>Chakram</t>
  </si>
  <si>
    <t>Arremesso(30/60), Leve, Retornável</t>
  </si>
  <si>
    <t>Chigiriki</t>
  </si>
  <si>
    <t>1d8</t>
  </si>
  <si>
    <t>Alcançar 1, Tropeçar, Desarmar, Sutileza</t>
  </si>
  <si>
    <t>Espada Cutelo</t>
  </si>
  <si>
    <t>Sutileza, Crítico, Mortal</t>
  </si>
  <si>
    <t>Chokuto</t>
  </si>
  <si>
    <t>Sutileza, Crítico, Letal 2</t>
  </si>
  <si>
    <t>Braçadeiras de Combate</t>
  </si>
  <si>
    <t>Desarmar, Leve, Desarmado</t>
  </si>
  <si>
    <t>Pergaminho de Combate</t>
  </si>
  <si>
    <t>Alcance (30/90), Invocado</t>
  </si>
  <si>
    <t>Besta de mão</t>
  </si>
  <si>
    <t>Alcance (30/120), Leve, Carregamento, munição</t>
  </si>
  <si>
    <t>Besta Pesada</t>
  </si>
  <si>
    <t>Alcance (30/120), Pesado, Sutileza, Carregamento, munição</t>
  </si>
  <si>
    <t>Fuma-Shuriken</t>
  </si>
  <si>
    <t>Arremesso(60/120). Oculto, Retornável</t>
  </si>
  <si>
    <t>Pergaminho de Combate Gigante</t>
  </si>
  <si>
    <t>1d12</t>
  </si>
  <si>
    <t>Alcance (60/180), Invocado, Duas Mãos</t>
  </si>
  <si>
    <t>Grande Machado</t>
  </si>
  <si>
    <t>Mortal, Pesado, Duas Mãos</t>
  </si>
  <si>
    <t>Gunbai Fan</t>
  </si>
  <si>
    <t>Bloqueio, Duas Mãos</t>
  </si>
  <si>
    <t>Gunsen</t>
  </si>
  <si>
    <t>Mortal, Leve, Sutileza, Oculto</t>
  </si>
  <si>
    <t>Machado de mão</t>
  </si>
  <si>
    <t>Leve, Arremesso (20/60)</t>
  </si>
  <si>
    <t>Kama (Foice de Mão)</t>
  </si>
  <si>
    <t>Leve, Sutileza, Crítico, Tático, Múltiplo ataque</t>
  </si>
  <si>
    <t>Lâmina Oculta</t>
  </si>
  <si>
    <t>Mortal, Letal 5, Oculto, Sutileza</t>
  </si>
  <si>
    <t>Hiya Taihou</t>
  </si>
  <si>
    <t>6d6</t>
  </si>
  <si>
    <t>Alcance (60/150), Carregamento, Duas Mãos, munição, Volátil 5</t>
  </si>
  <si>
    <t>Lança em forma de gancho</t>
  </si>
  <si>
    <t>Alcançar 1, Duas Mãos</t>
  </si>
  <si>
    <t>Garra de Ferro</t>
  </si>
  <si>
    <t>Desarmado, Sutileza, Crítico, Leve</t>
  </si>
  <si>
    <t>Jitte</t>
  </si>
  <si>
    <t>Leve, Bloqueio, Desarmar</t>
  </si>
  <si>
    <t>Kanabo</t>
  </si>
  <si>
    <t>Crítico, Pesado, Duas Mãos</t>
  </si>
  <si>
    <t>Katana</t>
  </si>
  <si>
    <t>Mortal, Sutileza</t>
  </si>
  <si>
    <t>Lâminas de junta</t>
  </si>
  <si>
    <t>Leve, Sutileza, Oculto</t>
  </si>
  <si>
    <t>Leve, Sutileza, Arremesso (30/60), Múltiplo ataque, munição</t>
  </si>
  <si>
    <t>Arco Longo</t>
  </si>
  <si>
    <t>Alcance (120/180), Sutileza, Duas Mãos, munição</t>
  </si>
  <si>
    <t>Pistola de fecho de mecha</t>
  </si>
  <si>
    <t>Alcance (15/60), Leve, Carregamento, munição, Volátil 3</t>
  </si>
  <si>
    <t>Rifle de mecha</t>
  </si>
  <si>
    <t>Alcance (60/150), Carregamento, Duas Mãos, munição, Volátil 4</t>
  </si>
  <si>
    <t>Boomerangue Monstro</t>
  </si>
  <si>
    <t>Arremesso (90/120), Duas Mãos, Pesado, Retornável</t>
  </si>
  <si>
    <t>Chakram Monstro</t>
  </si>
  <si>
    <t>Arremesso(60/120). Duas Mãos, Retornável</t>
  </si>
  <si>
    <t>Arremesso(40/80), Pesado, Duas Mãos, Retornável</t>
  </si>
  <si>
    <t>Naginata</t>
  </si>
  <si>
    <t>Alcançar 1, Pesado, Tropeçar, Duas Mãos, Flexível (Contundente d8)</t>
  </si>
  <si>
    <t>Net</t>
  </si>
  <si>
    <t>Agarrado, Alcance (10/15)</t>
  </si>
  <si>
    <t>Nunchaku</t>
  </si>
  <si>
    <t>Desarmar, Leve, Múltiplo ataque, Acorrentado</t>
  </si>
  <si>
    <t>Odachi (Espada Grande)</t>
  </si>
  <si>
    <t>2d6</t>
  </si>
  <si>
    <t>Martelo Otsuchi</t>
  </si>
  <si>
    <t>3d4</t>
  </si>
  <si>
    <t>Pesado, Duas Mãos</t>
  </si>
  <si>
    <t>Bordão</t>
  </si>
  <si>
    <t>Versátil (1d8), Bloqueio</t>
  </si>
  <si>
    <t>Bordão (Duas Mãos)</t>
  </si>
  <si>
    <t>Sai</t>
  </si>
  <si>
    <t>Arremesso (20/60), Leve, Sutileza, Desarmar</t>
  </si>
  <si>
    <t>Sansetsukon</t>
  </si>
  <si>
    <t>Alcançar 1, Desarmar, Tropeçar, Duas Mãos, Sutileza, Acorrentado</t>
  </si>
  <si>
    <t>Sasumata (Lança Bifurcada)</t>
  </si>
  <si>
    <t>Duas Mãos, Agarrar, Alcançar 1</t>
  </si>
  <si>
    <t>Scythe</t>
  </si>
  <si>
    <t>Alcançar 1, Mortal, Pesado, Duas Mãos</t>
  </si>
  <si>
    <t>Arremesso (30/60), Múltiplo ataque, munição</t>
  </si>
  <si>
    <t>Arco Curto</t>
  </si>
  <si>
    <t>Duas Mãos, Sutileza, Alcance (60/180), munição</t>
  </si>
  <si>
    <t>Arremesso (30/120), Múltiplo ataque, munição</t>
  </si>
  <si>
    <t>Estilingue</t>
  </si>
  <si>
    <t>Alcance (30/120), munição</t>
  </si>
  <si>
    <t>Lança</t>
  </si>
  <si>
    <t>Versátil (1d8), Alcançar 1</t>
  </si>
  <si>
    <t>Lança (Duas Mãos)</t>
  </si>
  <si>
    <t>Taichi</t>
  </si>
  <si>
    <t>Versátil (d10), Mortal</t>
  </si>
  <si>
    <t>Taichi (Duas Mãos)</t>
  </si>
  <si>
    <t>Fogo</t>
  </si>
  <si>
    <t>Leve, Sutileza, Mortal, Flexível (Cortante d4)</t>
  </si>
  <si>
    <t>Tekko</t>
  </si>
  <si>
    <t>Desarmado, Agarrar, Leve</t>
  </si>
  <si>
    <t>Tetsubo</t>
  </si>
  <si>
    <t>Pesado, Versátil (1d12), Mortal 2</t>
  </si>
  <si>
    <t>Tetsubo (Duas Mãos)</t>
  </si>
  <si>
    <t>Tinbe Rochin</t>
  </si>
  <si>
    <t>Tonfa</t>
  </si>
  <si>
    <t>Bloqueio, Leve, Oculto, Tropeçar, Múltiplo ataque</t>
  </si>
  <si>
    <t>Tropeçarlo Katar</t>
  </si>
  <si>
    <t>Desarmado, Leve, Bloqueio, Oculto</t>
  </si>
  <si>
    <t>Ataque Desarmado</t>
  </si>
  <si>
    <t>Urumi</t>
  </si>
  <si>
    <t>Alcançar 1, Sutileza, Desarmar, Tropeçar, Agarrar, Acorrentado</t>
  </si>
  <si>
    <t>Clube de Guerra</t>
  </si>
  <si>
    <t>Alcançar 1, Pesado</t>
  </si>
  <si>
    <t>Corrente ponderada</t>
  </si>
  <si>
    <t>Alcançar 2, Agarrar, Tropeçar, Duas Mãos, Múltiplo ataque</t>
  </si>
  <si>
    <t>Chicote</t>
  </si>
  <si>
    <t>Alcançar 2, Tropeçar, Sutileza, Acorrentado</t>
  </si>
  <si>
    <t>Yari</t>
  </si>
  <si>
    <t>Cortante/Perfuração</t>
  </si>
  <si>
    <t>Alcançar 1, Pesado, Duas Mãos</t>
  </si>
  <si>
    <t>[[Armas personalizadas]]</t>
  </si>
  <si>
    <t xml:space="preserve"> =====</t>
  </si>
  <si>
    <t xml:space="preserve"> ==============================</t>
  </si>
  <si>
    <t>Animal de Invocação</t>
  </si>
  <si>
    <t>Resistência da Invocação</t>
  </si>
  <si>
    <t>Jutsu Slots</t>
  </si>
  <si>
    <t>Size</t>
  </si>
  <si>
    <t>Casting Stat</t>
  </si>
  <si>
    <t>Defensive Ability Score</t>
  </si>
  <si>
    <t>Saving Throws</t>
  </si>
  <si>
    <t>Save Mod</t>
  </si>
  <si>
    <t>Speed</t>
  </si>
  <si>
    <t>Skills</t>
  </si>
  <si>
    <t>Skills Mod</t>
  </si>
  <si>
    <t>Senses</t>
  </si>
  <si>
    <t>Attack 1</t>
  </si>
  <si>
    <t>Attack 2</t>
  </si>
  <si>
    <t>Jutsu</t>
  </si>
  <si>
    <t>Urso</t>
  </si>
  <si>
    <t>Carnivoro</t>
  </si>
  <si>
    <t>M</t>
  </si>
  <si>
    <t>M-L</t>
  </si>
  <si>
    <t>M-H</t>
  </si>
  <si>
    <t>M-G</t>
  </si>
  <si>
    <t>Athletics</t>
  </si>
  <si>
    <t>Perception</t>
  </si>
  <si>
    <t>Survival</t>
  </si>
  <si>
    <t>Darkvision (60ft), Keen Smell</t>
  </si>
  <si>
    <t>Garras</t>
  </si>
  <si>
    <t>On an 18-20, add 1 rank of Bleed.</t>
  </si>
  <si>
    <t>Mordida</t>
  </si>
  <si>
    <t>On a 15-20, grapple.</t>
  </si>
  <si>
    <t>Earth, Attack Tai, Slashing Buki</t>
  </si>
  <si>
    <t>S</t>
  </si>
  <si>
    <t>S-L</t>
  </si>
  <si>
    <t>S-H</t>
  </si>
  <si>
    <t>S-G</t>
  </si>
  <si>
    <t>Deception</t>
  </si>
  <si>
    <t>Persuasion</t>
  </si>
  <si>
    <t>Stealth</t>
  </si>
  <si>
    <t>+1 Critical Threat Range</t>
  </si>
  <si>
    <t>Fire Keyword, Visual/Tactile Gen, Piercing buki with attack roll</t>
  </si>
  <si>
    <t>Javali</t>
  </si>
  <si>
    <t>Intimidation</t>
  </si>
  <si>
    <t>Presa</t>
  </si>
  <si>
    <t>On a roll of 16 or higher, the target is knocked prone.</t>
  </si>
  <si>
    <t>None</t>
  </si>
  <si>
    <t>Non-Medical FIre with range of self Non-medical Earth without Attack rolls</t>
  </si>
  <si>
    <t>Corça</t>
  </si>
  <si>
    <t>Herbivoro</t>
  </si>
  <si>
    <t>Medicine</t>
  </si>
  <si>
    <t>Darkvision (30ft)</t>
  </si>
  <si>
    <t>Cascos</t>
  </si>
  <si>
    <t>On a roll of 17 or higher, this attack inflicts 1 rank of bruise on its target.</t>
  </si>
  <si>
    <t>Antlers</t>
  </si>
  <si>
    <t>On a roll of 16 or higher, this attack inflicts 1 rank of bleed.</t>
  </si>
  <si>
    <t>Any with Medical Keyword Earth that forces saves, Buki that  has blud or Piercing</t>
  </si>
  <si>
    <t>Cão/Lobo</t>
  </si>
  <si>
    <t>S-M</t>
  </si>
  <si>
    <t>Insight</t>
  </si>
  <si>
    <t>Darkvision (30ft), Keen Smell and Hearing</t>
  </si>
  <si>
    <t>On a roll of 16 or higher, the target is knocked prone or drug 5 feet in any direction the summon wants.</t>
  </si>
  <si>
    <t>Non-Elemental, Fuin or Medical Nin, Attack roll Tai, Bleed/ReFORained/Prone Buki</t>
  </si>
  <si>
    <t>Lebre/Coelho</t>
  </si>
  <si>
    <t>Roedor</t>
  </si>
  <si>
    <t>T</t>
  </si>
  <si>
    <t>T-S</t>
  </si>
  <si>
    <t>T-M</t>
  </si>
  <si>
    <t>T-L</t>
  </si>
  <si>
    <t>T-H</t>
  </si>
  <si>
    <t>Acrobatics</t>
  </si>
  <si>
    <t>Keen Smell, Keen Hearing</t>
  </si>
  <si>
    <t>Chutes</t>
  </si>
  <si>
    <t>On a roll of 19~20, make another Chutes attack. This effect can be repeated indefinitely.</t>
  </si>
  <si>
    <t>Wind Ninjutsu, Non-Elemental Fuin Visual Gen</t>
  </si>
  <si>
    <t>Aguia</t>
  </si>
  <si>
    <t>Ave</t>
  </si>
  <si>
    <t>Darkvision (90ft), Keen Sight</t>
  </si>
  <si>
    <t>No additional effects</t>
  </si>
  <si>
    <t>Lightning and Wid Ninjutsu, Sensory  Gen</t>
  </si>
  <si>
    <t>Exame de Insetos</t>
  </si>
  <si>
    <t>Insectoide</t>
  </si>
  <si>
    <t>Blindsight (15ft)</t>
  </si>
  <si>
    <t>Ferrões</t>
  </si>
  <si>
    <t>Poison, Acid Necrotic, CARkra dmg Nin, Inhaled Gen</t>
  </si>
  <si>
    <t>Largato</t>
  </si>
  <si>
    <t>Dragão</t>
  </si>
  <si>
    <t>Tremor Sense (30), Keen Smell</t>
  </si>
  <si>
    <t>Cauda</t>
  </si>
  <si>
    <t>On a roll of 15 or greater, knocks target prone.</t>
  </si>
  <si>
    <t>Simple Melee</t>
  </si>
  <si>
    <t>This summon, has one simple melee weapon, using the weapons statistics for attack and damage. If this summon is Large or larger, increase the weapons damage die by +1.</t>
  </si>
  <si>
    <t>Acid/Poison Nin, Fire and Earth nin</t>
  </si>
  <si>
    <t>Macaco</t>
  </si>
  <si>
    <t>Primata</t>
  </si>
  <si>
    <t>-</t>
  </si>
  <si>
    <t>These Garras count as unarmed damage for the purpose of Taijutsu.</t>
  </si>
  <si>
    <t>Weapon</t>
  </si>
  <si>
    <t>This summon, has one simple or martial melee weapon, using the weapons statistics for attack and damage. If this summon is Large or larger, increase the weapons damage die by +1.</t>
  </si>
  <si>
    <t>Tai and Buki without Medical Keyword</t>
  </si>
  <si>
    <t>Touro/Carneiro</t>
  </si>
  <si>
    <t>L</t>
  </si>
  <si>
    <t>L-H</t>
  </si>
  <si>
    <t>L-G</t>
  </si>
  <si>
    <t>Chifres</t>
  </si>
  <si>
    <t>Consrtuct Earth Nin, Saving Throw Tai, Piercing Byki</t>
  </si>
  <si>
    <t>Rato</t>
  </si>
  <si>
    <t>Sleight Of Hand</t>
  </si>
  <si>
    <t>Darkvision (30ft), Keen Smell</t>
  </si>
  <si>
    <t>Poison/Necrotic Nin, Piercing Buki, Inhaled Gen</t>
  </si>
  <si>
    <t>Tubarão</t>
  </si>
  <si>
    <t>Anfibio</t>
  </si>
  <si>
    <t>Blindsight (30ft),Keen Smell,Water  Breathing</t>
  </si>
  <si>
    <t xml:space="preserve">This creature gains a +1 bonus to its critical threat range on this attack, against a Bleeding creature. On a roll of 16 or higher, the target gains 1 rank of Bleed.
</t>
  </si>
  <si>
    <t>Water and Senory Nin, Sensory Gen, Melee Piercing Buki</t>
  </si>
  <si>
    <t>Lesma</t>
  </si>
  <si>
    <t>Tremor Sense (20ft), Water Breathing</t>
  </si>
  <si>
    <t>Acid Spray</t>
  </si>
  <si>
    <t>On a roll of 15 or greater, the target gains 1 rank of Corroded.</t>
  </si>
  <si>
    <t>Water/Sensory/Medical Nin</t>
  </si>
  <si>
    <t>Serpente</t>
  </si>
  <si>
    <t xml:space="preserve">On a roll of 17 or higher, target creature gains 1 rank of envenomed.
</t>
  </si>
  <si>
    <t>Fire/Wind/Poison dmg Medical Ninjutsu</t>
  </si>
  <si>
    <t>Aranha</t>
  </si>
  <si>
    <t>S-l</t>
  </si>
  <si>
    <t>Darkvision (60ft), Keen Sight</t>
  </si>
  <si>
    <t>Webbing</t>
  </si>
  <si>
    <t>No Dmg</t>
  </si>
  <si>
    <t>Target is grappled by webbing. As an action, the reFORained creature can make a FORength check vs this summons Save DC, freeing themselves on a success. The webbing can also be attack and deFORoyed. (AC 10, 5 HP, Vulnerability to fire damage; Immune to Bludgeoning, poison, and psychic damage.)</t>
  </si>
  <si>
    <t>Earth Nin that make FORuctures, Poison Medical Nin, Tactile Gen</t>
  </si>
  <si>
    <t>Tigre/Leão</t>
  </si>
  <si>
    <t>Darkvision (30ft) Keen Sight, Keen Smell</t>
  </si>
  <si>
    <t>On a roll of 16 or higher, the target is grappled and knocked prone.</t>
  </si>
  <si>
    <t>Claw</t>
  </si>
  <si>
    <t>On a roll of 18 or higher, the target gains 1 rank of bleed.</t>
  </si>
  <si>
    <t>Fire Nin, Lightning Nin, Fear Genjutsu</t>
  </si>
  <si>
    <t>Sapo</t>
  </si>
  <si>
    <t>T-G</t>
  </si>
  <si>
    <t>Amphibian, Keen Sight</t>
  </si>
  <si>
    <t>Tongue</t>
  </si>
  <si>
    <t>target creature must make a FORength saving throw being grappled and reFORained on a failed save.</t>
  </si>
  <si>
    <t>Sapo Oil</t>
  </si>
  <si>
    <t>the creature is doused in Sapo oil for 1 minute. While doused in this oil if they would take Fire damage, they take an additional +2 damage die and are no longer doused.</t>
  </si>
  <si>
    <t>Water Nin, Auditory/Fuinjutsu Gen, Melee Attack Buki</t>
  </si>
  <si>
    <t>Tartaruga</t>
  </si>
  <si>
    <t>Amphibious, Keen Sight</t>
  </si>
  <si>
    <t>Water Nin, Non-Nature Fuinjutsu Nin, Attack Tai</t>
  </si>
  <si>
    <t>Doninha</t>
  </si>
  <si>
    <t>T-s</t>
  </si>
  <si>
    <t>T-l</t>
  </si>
  <si>
    <t>Keen Smell, Keen Sight</t>
  </si>
  <si>
    <t>Wind Nin, Slashing Buki, Skill Check Bonus Nin</t>
  </si>
  <si>
    <t>Gato</t>
  </si>
  <si>
    <t>Darkvision (120 ft), Keen SIght</t>
  </si>
  <si>
    <t>Slashing Buki, Nin Med, Visual Gen</t>
  </si>
  <si>
    <t>Inuit</t>
  </si>
  <si>
    <t>Darkvision (30ft), Keen Smell and Sight</t>
  </si>
  <si>
    <t>(Multiataque) Mordida</t>
  </si>
  <si>
    <t>Inuzuka Hijutsu</t>
  </si>
  <si>
    <t>Kugsha</t>
  </si>
  <si>
    <t>Tamaskan</t>
  </si>
  <si>
    <t>NOME DOS CLÃS</t>
  </si>
  <si>
    <t>Latent</t>
  </si>
  <si>
    <t>Realized</t>
  </si>
  <si>
    <t>NewLatent</t>
  </si>
  <si>
    <t>Options</t>
  </si>
  <si>
    <t>Costs</t>
  </si>
  <si>
    <t>Image Link</t>
  </si>
  <si>
    <t>Aburame</t>
  </si>
  <si>
    <t>Akimichi</t>
  </si>
  <si>
    <t>Calories</t>
  </si>
  <si>
    <t>Fat Conversion,Food Pill</t>
  </si>
  <si>
    <t>Latent Calories I,Latent Calories II,Latent Food Conversion I,Latent Food Conversion II,Latent Food Pill I,Latent Food Pill II,Latent Food Pill III,D-Rank Hijutsu,C-Rank Hijutsu,B-Rank Hijutsu,A-Rank Hijutsu,Clan Feats</t>
  </si>
  <si>
    <t>3,5,3,4,2,3,5,2,2,3,3,5</t>
  </si>
  <si>
    <t>https://static.wikia.nocookie.net/ninja-encyclopedia/images/8/8e/Akimichi_Symbol.svg.png/revision/latest/scale-to-width-down/250?cb=20091220222134</t>
  </si>
  <si>
    <t>Bakuton</t>
  </si>
  <si>
    <t>Shrapnel Dice</t>
  </si>
  <si>
    <t>Latent Branch Style,Latent Cataclysmic I,Latent Cataclysmic II,Latent Concussive Blasts I,Latent Concussive Blasts II,Latent Concusive Blasts II,Latent Explosion Release I,Latent Explosion Release II, D-Rank Hijutsu,C-Rank Hijutsu,B-Rank Hijutsu,A-Rank Hijutsu,Clan Feats</t>
  </si>
  <si>
    <t>2,2,3,3,4,5,2,4,2,2,3,3,5</t>
  </si>
  <si>
    <t>https://cdn.discordapp.com/attachments/786665752492900396/810946356490928158/Kekkai_Genkai_Explosion.png</t>
  </si>
  <si>
    <t>Fuma</t>
  </si>
  <si>
    <t>Fuma Shurkien Master, Letal Precision</t>
  </si>
  <si>
    <t xml:space="preserve"> Latent Immaculate Precision I,Latent Immaculate Precision II,Latent Imaculate Precision III,Latent Imaculate Precision IV,Latent Imaculate Precision V,Latent Razor-Sharp Senses I,Latent Razor-Sharp Senses II,Latent Working the Angles I,Latent Shuriken Master I,Latent Shuriken Master II,Latent Letal Precision I,D-Rank Hijutsu,C-Rank Hijutsu,B-Rank Hijutsu,A-Rank Hijutsu,Clan Feats</t>
  </si>
  <si>
    <t>0,2,2,2,2,3,3,2,3,3,3,2,2,3,3,5</t>
  </si>
  <si>
    <t>https://static.wikia.nocookie.net/erashinobionline/images/e/e1/200px-F%C5%ABma_Symbol.svg.png/revision/latest/scale-to-width-down/180?cb=20130427013453</t>
  </si>
  <si>
    <t>Futton</t>
  </si>
  <si>
    <t>Boiling Chakra</t>
  </si>
  <si>
    <t>Latent Boil Over I,Latent Boil Over II,Latent Boil Over III,Latent Boil Release I,Latent Boil Release II,Latent Boiling Chakra I,Latent Boilding Body,Latent Boiling Mind,Latent Boiling Determination,Latent Boiling Chakra II,D-Rank Hijutsu,C-Rank Hijutsu,B-Rank Hijutsu,A-Rank Hijutsu,Clan Feats</t>
  </si>
  <si>
    <t>1,2,3,2,4,3,4,4,4,4,2,2,3,3,5</t>
  </si>
  <si>
    <t>https://cdn.discordapp.com/attachments/786665752492900396/810946341001101372/Kekkai_Genkai_Boil.png</t>
  </si>
  <si>
    <t>Hatake</t>
  </si>
  <si>
    <t>White Chakra (3)</t>
  </si>
  <si>
    <t>White Levening</t>
  </si>
  <si>
    <t>Latent White Chakra I,Latent White Chakra II,Latent Levening Release Adept I,Latent Levening Release Adept II,Latent Levening Release Adept III,Latent White Levening I,Latent White Levening II,Clan Feats</t>
  </si>
  <si>
    <t>2,5,2,3,5,3,5,5</t>
  </si>
  <si>
    <t>https://static.wikia.nocookie.net/naruto/images/a/ac/Hatake_Symbol.svg/revision/latest/scale-to-width-down/200?cb=20150509210734</t>
  </si>
  <si>
    <t>Hebi</t>
  </si>
  <si>
    <t>Latnent Regeneration (3)</t>
  </si>
  <si>
    <t>Poison Potency</t>
  </si>
  <si>
    <t>Latent Serpent Mimicry I,Latent Serpent Mimicry II,Latent Regeneration I,Latent Regeneration II,Latent Regeneration III,Latent Regeneration IV,Latent Regeneration V,Latent Poision Potency I,Latent Posion Potency II,D-Rank Hijutsu,C-Rank Hijutsu,B-Rank Hijutsu,A-Rank Hijutsu,Clan Feats</t>
  </si>
  <si>
    <t>1,2,2,2,3,3,5,2,5,2,2,3,3,5</t>
  </si>
  <si>
    <t>https://media.istockphoto.com/vectors/ancient-occult-alchemical-symbol-snake-eating-tail-ouroboros-vector-id1225389312?k=6&amp;m=1225389312&amp;s=612x612&amp;w=0&amp;h=SEZ-2UIg4GhmutmOHK8E8qhE3po4nzkISZ8qiQkTKI4=</t>
  </si>
  <si>
    <t>Hoshigaki</t>
  </si>
  <si>
    <t>Aquatic Adaption,Shark Tooth, Amphibious</t>
  </si>
  <si>
    <t>Shark Skined Predator</t>
  </si>
  <si>
    <t>Latent Commander of the Deep,Latent Brute Strength,Latent Brute Strength II,Latent Ravenous Chakra I,Latent Ravenous Chakra II,Latent Shark Skinned Predator,Clan Feats</t>
  </si>
  <si>
    <t>3,2,4,3,5,8,5</t>
  </si>
  <si>
    <t>https://static.wikia.nocookie.net/nnerp/images/e/e3/Hoshigaki.png/revision/latest/scale-to-width-down/340?cb=20140617004836</t>
  </si>
  <si>
    <t>Hozuki</t>
  </si>
  <si>
    <t>Latent Water Reserves,Water Dependency,Amphibious</t>
  </si>
  <si>
    <t>Latent Water Reserves (2),Water Dependency,Amphibious</t>
  </si>
  <si>
    <t>Water Reservoir</t>
  </si>
  <si>
    <t>Latent Levening Release Inabilty,Latent Made of Water I,Latent Made of Water II,Latent Water Reservoirs I,Latent Water Reservoirs II,Latent Water Reservoirs III,Latent Water Reservois IV,Latent Reflective Surface,D-Rank Hijutsu,C-Rank Hijutsu,B-Rank Hijutsu,A-Rank Hijutsu,Clan Feats</t>
  </si>
  <si>
    <t>0,2,4,2,3,4,5,5,2,2,3,3,5</t>
  </si>
  <si>
    <t>https://static.wikia.nocookie.net/naruto/images/9/9b/H%C5%8Dzuki_Symbol.svg/revision/latest/scale-to-width-down/200?cb=20110114133308</t>
  </si>
  <si>
    <t>Hyuga</t>
  </si>
  <si>
    <t>Latent Byakugan</t>
  </si>
  <si>
    <t>Gentle Fist Stance</t>
  </si>
  <si>
    <t>Latent Branch Family,Latent Byakugan I,Latent Byakugan II,Latent Byakugan III,Latent Byakugan IV,Latent Gentle Fist I,Latent Gentle Fist II,Latent Gentle Fist III,Latent Gentle Fist IV,D-Rank Hijutsu,C-Rank Hijutsu,B-Rank Hijutsu,A-Rank Hijutsu,Clan Feats</t>
  </si>
  <si>
    <t>0,2,2,3,3,2,3,5,5,2,2,3,3,5</t>
  </si>
  <si>
    <t>https://cdn.discordapp.com/attachments/786665752492900396/810946757000822804/Byakugan.png</t>
  </si>
  <si>
    <t>Inuzuka</t>
  </si>
  <si>
    <t>Beast Master</t>
  </si>
  <si>
    <t>Bestial Fury,Nin-Dog Savage Attack</t>
  </si>
  <si>
    <t>Latent Beast Master I,Latent Beast Master II,Latent Beast Master III,Latent Beast Master IV,Latent Beast Master V,Latent Wild Sense I,Latent Wild Sense II,Latent Savage Attack I,Latent Save Attack II,Latent Save Attack III,Latent Bestial Fury,D-Rank Hijutsu,C-Rank Hijutsu,B-Rank Hijutsu,A-Rank Hijutsu,Clan Feats</t>
  </si>
  <si>
    <t>0,2,2,3,3,2,3,2,3,3,2,2,2,3,3,5</t>
  </si>
  <si>
    <t>https://static.wikia.nocookie.net/naruto/images/1/17/Inuzuka_Symbol.svg/revision/latest/scale-to-width-down/200?cb=20150515013818</t>
  </si>
  <si>
    <t>Jiton</t>
  </si>
  <si>
    <t>Magnetic Mark,Swirling Currents</t>
  </si>
  <si>
    <t>Latent Magnet Release I,Latent Magnet Release II,Latent Dust Layer I,Latent Dust Layer II,Latent Dust Layer III,Latent Swirling Currents I,Latent Swirling Currents II,Latent Magnetic Mark I,Latent Magnetic Mark II,D-Rank Hijutsu,C-Rank Hijutsu,B-Rank Hijutsu,A-Rank Hijutsu,Clan Feats</t>
  </si>
  <si>
    <t>2,4,2,3,4,2,3,2,3,2,2,3,3,5</t>
  </si>
  <si>
    <t>https://cdn.discordapp.com/attachments/786665752492900396/810946406823100476/Kekkai_Genkai_Magnet.png</t>
  </si>
  <si>
    <t>Jūgo</t>
  </si>
  <si>
    <t>Latent Raw Chakra</t>
  </si>
  <si>
    <t>Realized Raw Chakra</t>
  </si>
  <si>
    <t>Latent Raw Chakra I,Latent Raw Chakra II,Latent Raw Chakra III,Latent Raw Chakra IV,Latent Raw Chakra V,Latent Raw Chakra Form I,Latent Raw Chakra Form II,Latent Raw Chakra Form III,D-Rank Hijutsu,C-Rank Hijutsu,B-Rank Hijutsu,A-Rank Hijutsu,Clan Feats</t>
  </si>
  <si>
    <t>2,3,3,4,4,3,3,3,2,2,3,3,5</t>
  </si>
  <si>
    <t>https://static.wikia.nocookie.net/naruto/images/6/61/Cursed_Seal_Sasuke_%26_Anko.svg/revision/latest/scale-to-width-down/100?cb=20120408173930</t>
  </si>
  <si>
    <t>Kaguya</t>
  </si>
  <si>
    <t>Bone Weapons,Battle Hungry</t>
  </si>
  <si>
    <t>Shikotsumyaku Stance</t>
  </si>
  <si>
    <t>Latent Bone Weapons I,Latent Bone Weapons II,Latent Bone Weapons III,Latent Shikotsumyaku Stance I,Latent Shikotsumyaku Stance II,Latent Battle Hungry I,Latent Battle Hungry II,Latent Calcified Structure,D-Rank Hijutsu,C-Rank Hijutsu,B-Rank Hijutsu,A-Rank Hijutsu,Clan Feats</t>
  </si>
  <si>
    <t>2,3,3,2,5,2,3,5,2,2,3,3,5</t>
  </si>
  <si>
    <t>https://media.discordapp.net/attachments/786665752492900396/810946561642987580/Kaguya.png</t>
  </si>
  <si>
    <t>Kurama</t>
  </si>
  <si>
    <t>Genjutsu Molding (4)</t>
  </si>
  <si>
    <t>Genjutsu Conversions</t>
  </si>
  <si>
    <t>Latent Genjutsu Especiality I,Latent Genjutsu Especiality II, Latent Genjutsu Resistance I,Latent Genjutsu Resistance II,Latent Genjutsu Resistance III,Latent Shinjitsu I,Latent Shinjitsu II,Latent Shinjutsu III,Clan Feats</t>
  </si>
  <si>
    <t>2,4,2,2,2,4,4,5,5</t>
  </si>
  <si>
    <t>https://static.wikia.nocookie.net/naruto/images/d/db/Kurama_Symbol.svg/revision/latest/scale-to-width-down/100?cb=20090829235615</t>
  </si>
  <si>
    <t>Kuru</t>
  </si>
  <si>
    <t>Kurugan</t>
  </si>
  <si>
    <t>Latent Yin Chakra Adept I,Latent Yin Chakra Adept II,Latent Yin Chakra Adept III,Latent Yin Chakra Adept IV,Latent Yin Chakra Adept V,Latent Kurugan I,Latent Kurugan II,Latent Kurugan III,D-Rank Hijutsu,C-Rank Hijutsu,B-Rank Hijutsu,A-Rank Hijutsu,Clan Feats</t>
  </si>
  <si>
    <t>0,2,3,4,5,3,3,5,2,2,3,3,5</t>
  </si>
  <si>
    <t>https://cdn.discordapp.com/attachments/786665752492900396/810946780686188604/Kurugan2.png</t>
  </si>
  <si>
    <t>Namikaze</t>
  </si>
  <si>
    <t>Supernatural Speed</t>
  </si>
  <si>
    <t>Latent Swift Release I,Latent Swift Release II,Latent Swift Release III,Latent Swift Release IV,Latent Supernatural Speed I,Latent Supernatural Speed II,Latent Supernatural Speed III,Latent Supernatural Speed IV,Latent Supernatural Speed V,Latent Supernatural Speed VI,Latent Supernatural Speed VII,D-Rank Hijutsu,C-Rank Hijutsu,B-Rank Hijutsu,A-Rank Hijutsu,Clan Feats</t>
  </si>
  <si>
    <t>2,4,2,3,1,2,1,3,3,3,1,2,2,3,3,5</t>
  </si>
  <si>
    <t>https://cdn.discordapp.com/attachments/786665752492900396/810946456503844865/Kekkai_Genkai_Swift.png</t>
  </si>
  <si>
    <t>Nara</t>
  </si>
  <si>
    <t>Coordinate,Master Tactician</t>
  </si>
  <si>
    <t>Genius Potential,Masters of the Shadows</t>
  </si>
  <si>
    <t>Latent Coordinate I,Latent Coordinate II,Latent Coordinate III,Latent Master Tactician I,Latent Master Tactician II,Latent Master of Shadows I,Latent Master of Shadows II,Latent Master of Shadows III,D-Rank Hijutsu,C-Rank Hijutsu,B-Rank Hijutsu,A-Rank Hijutsu,Clan Feats</t>
  </si>
  <si>
    <t>2,2,3,3,5,2,3,5,2,2,3,3,5</t>
  </si>
  <si>
    <t>https://static.wikia.nocookie.net/naruto/images/d/d5/Nara_Symbol.svg/revision/latest/scale-to-width-down/200?cb=20110330225002</t>
  </si>
  <si>
    <t>Sem Clã</t>
  </si>
  <si>
    <t>No.</t>
  </si>
  <si>
    <t>Still No.</t>
  </si>
  <si>
    <t>No</t>
  </si>
  <si>
    <t>https://static.wikia.nocookie.net/9dcccec9-642d-4824-920f-b43262d5eadc</t>
  </si>
  <si>
    <t>Ranton</t>
  </si>
  <si>
    <t>Gale Style, Pervasive Levening</t>
  </si>
  <si>
    <t>Latent Twin Style,Latent Shocking Wave I,Latent Shocking Wave II,Latent Storm Release I,Latent Storm Release II,Latent Storm Release III,Latent Storm Release IV,Latent Galvanation,D-Rank Hijutsu,C-Rank Hijutsu,B-Rank Hijutsu,A-Rank Hijutsu,Clan Feats</t>
  </si>
  <si>
    <t>2,3,3,2,4,3,3,5,2,2,3,3,5</t>
  </si>
  <si>
    <t>https://cdn.discordapp.com/attachments/786665752492900396/810946441883156500/Kekkai_Genkai_Storm.png</t>
  </si>
  <si>
    <t>Ryu</t>
  </si>
  <si>
    <t>Blood of the Dragon</t>
  </si>
  <si>
    <t>Dragon Rage</t>
  </si>
  <si>
    <t>Dragons Rage</t>
  </si>
  <si>
    <t>Latent Blood of the Dragon,Latent Dragon Claws I,Latent Dragon Claws II,Latent Dragon Claws III,Latent Dragon's Rage I,Latent Dragon's Rage II,Latent Dragon's Rage III,Latent Dragon's Rage IV,D-Rank Hijutsu,C-Rank Hijutsu,B-Rank Hijutsu,A-Rank Hijutsu,Clan Feats</t>
  </si>
  <si>
    <t>5,2,3,4,2,3,3,3,2,2,3,3,5</t>
  </si>
  <si>
    <t>https://banner.uclipart.com/20200111/wwk/dragon-black-and-white-silhouette.png</t>
  </si>
  <si>
    <t>Sarutobi</t>
  </si>
  <si>
    <t>Advanced Nature Transformation,Advanced Nature Proficiency</t>
  </si>
  <si>
    <t>Advanced Chakra Control</t>
  </si>
  <si>
    <t>Latent Advanced Nature Transformation I,Latent Advanced Nature Transformation II,Latent Advanced Chakra Control I,Latent Advanced Chakra Control II,Latent Advanced Chakra Control III,Latent Advanced Nature Proficiency I,Latent Advanced Nature Proficiency II,Latent Advanced Nature Proficiency III,Latent Advanced Nature Proficiency IV,Clan Feats</t>
  </si>
  <si>
    <t>2,3,2,3,5,2,2,3,3,5</t>
  </si>
  <si>
    <t>https://static.wikia.nocookie.net/naruto/images/f/fb/Sarutobi_Symbol.svg/revision/latest/scale-to-width-down/200?cb=20150802153808</t>
  </si>
  <si>
    <t>Senju</t>
  </si>
  <si>
    <t>Latent Senju</t>
  </si>
  <si>
    <t>Wood Release</t>
  </si>
  <si>
    <t>Latent Wood Release I,Latent Wood Release II,Latent Wood Release III,Latent Wood Release IV,Latent Mitotic Regeneration I,Latent Mitotic Regeneration II,Latent Sacred Body,Latent Blood of the Leaf,D-Rank Hijutsu,C-Rank Hijutsu,B-Rank Hijutsu,A-Rank Hijutsu,Clan Feats</t>
  </si>
  <si>
    <t>2,4,3,3,2,3,5,3,2,2,3,3,5</t>
  </si>
  <si>
    <t>https://cdn.discordapp.com/attachments/786665752492900396/810946467988242432/Kekkai_Genkai_Wood.png</t>
  </si>
  <si>
    <t>Shakuton</t>
  </si>
  <si>
    <t>Scorching Heat</t>
  </si>
  <si>
    <t>Latent Scorch Release I,Latent Scorch Release II,Latent Scorch Release III,Latent Scorch Release IV, Latent Scorching Heat I,Latent Scorching Heat II,Latent Scorching heat III,Latent Immolation,D-Rank Hijutsu,C-Rank Hijutsu,B-Rank Hijutsu,A-Rank Hijutsu,Clan Feats</t>
  </si>
  <si>
    <t>2,4,2,3,2,3,4,5,2,2,3,3,5</t>
  </si>
  <si>
    <t>https://cdn.discordapp.com/attachments/786665752492900396/810946421787328602/Kekkai_Genkai_Scorch.png</t>
  </si>
  <si>
    <t>Shikigami</t>
  </si>
  <si>
    <t>Latent Paper Craft</t>
  </si>
  <si>
    <t>Paper Expert</t>
  </si>
  <si>
    <t>Divine Shikigami</t>
  </si>
  <si>
    <t>Latent Papercraft I,Latent Paper Expert I,Later Paper Expert II,Latent Paper Reservoir I,Latent Paper Resevoir II,Latent Divine Shikigami,D-Rank Hijutsu,C-Rank Hijutsu,B-Rank Hijutsu,A-Rank Hijutsu,Clan Feats</t>
  </si>
  <si>
    <t>3,4,5,3,5,5,2,2,3,3,5</t>
  </si>
  <si>
    <t>https://cdn4.iconfinder.com/data/icons/origami-paper-animals/100/origami-01-512.png</t>
  </si>
  <si>
    <t>Shoton</t>
  </si>
  <si>
    <t>Crystalline Focus</t>
  </si>
  <si>
    <t>Latent One with Earth,Latent Crystalline Stone I,Latent Crystalline Stone II,Latent Rock Hard Stability I,Latent Rock Hard Stability II,Latent Crystalized Focus I,Latent Crystalized Focus II,Latent Crystalized Focus III,D-Rank Hijutsu,C-Rank Hijutsu,B-Rank Hijutsu,A-Rank Hijutsu,Clan Feats</t>
  </si>
  <si>
    <t>5,2,3,2,3,2,3,5,2,2,3,3,5</t>
  </si>
  <si>
    <t>https://cdn.discordapp.com/attachments/866333262266630154/886806671022755850/250.png</t>
  </si>
  <si>
    <t>Tsuchigumo</t>
  </si>
  <si>
    <t>Realized Third Eye, Exoskeleton</t>
  </si>
  <si>
    <t>Latent Third Eye I,Latent Third Eye II,Latent Third Eye III,Latent Web Weapons I,Latent Web Weapons II,Latent Exoskeleton I,Latent Exoskeleton II,D-Rank Hijutsu,C-Rank Hijutsu,B-Rank Hijutsu,A-Rank Hijutsu,Clan Feats</t>
  </si>
  <si>
    <t>2,3,5,3,5,2,5,2,2,3,3,5</t>
  </si>
  <si>
    <t>https://static.wikia.nocookie.net/naruto/images/0/09/Tsuchigumo_Symbol.svg/revision/latest/scale-to-width-down/150?cb=20100714212105</t>
  </si>
  <si>
    <t>Sharingan</t>
  </si>
  <si>
    <t>Advanced Adaption</t>
  </si>
  <si>
    <t>Latent Advanced Adaptation I,Latent Advnaced Adaptation II,Latent Advanced Adaptation III,Latent Advanced Adaptation IV,Latent Sharingan I,Latent Sharingan II,Latent Sharingan III,Latent Sharingan IV,D-Rank Hijutsu,C-Rank Hijutsu,B-Rank Hijutsu,A-Rank Hijutsu,Clan Feats</t>
  </si>
  <si>
    <t>2,2,3,4,2,3,4,5,2,2,3,3,5</t>
  </si>
  <si>
    <t>https://cdn.discordapp.com/attachments/786665752492900396/810946797459603506/SHARINGAN.png</t>
  </si>
  <si>
    <t>Uzumaki</t>
  </si>
  <si>
    <t>Incomprehensible Fortitude</t>
  </si>
  <si>
    <t>Latent Fuinjutsu Master I,Latent Fuinjutsu Master II,Latent Fundamental Difference I,Latent Drainging Seals I,Latent Draing Seals II,Latent Inhuman Lifeforce,Latent Chakra Reserves I,Latent Chakra Reserves II,D-Rank Hijutsu,C-Rank Hijutsu,B-Rank Hijutsu,A-Rank Hijutsu,Clan Feats</t>
  </si>
  <si>
    <t>2,4,3,2,4,5,2,3,2,2,3,3,5</t>
  </si>
  <si>
    <t>https://static.wikia.nocookie.net/naruto/images/8/89/Uzumaki_Symbol.svg/revision/latest/scale-to-width-down/200?cb=20180407232103</t>
  </si>
  <si>
    <t>Yamanaka</t>
  </si>
  <si>
    <t>Yamanaka Boons</t>
  </si>
  <si>
    <t>Mental Clarity</t>
  </si>
  <si>
    <t>Master of Alteration</t>
  </si>
  <si>
    <t>Latent Mental Boon I,Latent Mental Boon II,Latent Mental Boon III,Latent Mental Clarity I,Latent Mental Clarity II,Latent Mental Clarity III,Latent Master Mental Alteration,D-Rank Hijutsu,C-Rank Hijutsu,B-Rank Hijutsu,A-Rank Hijutsu,Clan Feats</t>
  </si>
  <si>
    <t>2,3,5,2,3,5,5,2,2,3,3,5</t>
  </si>
  <si>
    <t>https://static.wikia.nocookie.net/naruto/images/c/c9/Yamanaka_Symbol.svg/revision/latest/scale-to-width-down/200?cb=20110330225003</t>
  </si>
  <si>
    <t>Yoton</t>
  </si>
  <si>
    <t xml:space="preserve">Lava Release,Churning Magma </t>
  </si>
  <si>
    <t>Latent Lava Release I,Latent Lava Release II,Latent Lava Release III,Latent Lava Release IV,Latent Calcified Skin I,Latent Calcified Skin II,Latent Churning Magma I,Latent Churning Magma II,D-Rank Hijutsu,C-Rank Hijutsu,B-Rank Hijutsu,A-Rank Hijutsu,Clan Feats</t>
  </si>
  <si>
    <t>2,4,2,3,2,4,3,5,2,2,3,3,5</t>
  </si>
  <si>
    <t>https://cdn.discordapp.com/attachments/786665752492900396/810946391093280838/Kekkai_Genkai_Lava.png</t>
  </si>
  <si>
    <t>Yuki</t>
  </si>
  <si>
    <t>Chilled Body,Frigid Cold</t>
  </si>
  <si>
    <t>Latent Ice Release I,Latent Ice Release II,Latent Ice Release III,Latent Ice Release IV,Latent Frigid Cold I,Latent Frigid Cold II,Latent Frigid Cold III,Latent Chilled Body I,Latent Chilled Body II,D-Rank Hijutsu,C-Rank Hijutsu,B-Rank Hijutsu,A-Rank Hijutsu,Clan Feats</t>
  </si>
  <si>
    <t>2,4,2,5,1,2,3,2,4,2,2,3,3,5</t>
  </si>
  <si>
    <t>https://cdn.discordapp.com/attachments/786665752492900396/810946372114448435/Kekkai_Genkai_Ice.png</t>
  </si>
  <si>
    <t>Chinoike</t>
  </si>
  <si>
    <t>Latent Ketsuryūgan</t>
  </si>
  <si>
    <t>https://media.discordapp.net/attachments/935613753775493180/1001678080714227763/unknown.png</t>
  </si>
  <si>
    <t>Fushin</t>
  </si>
  <si>
    <t>Go With The Flow,Raging Tempest</t>
  </si>
  <si>
    <t>Typhoon Release,Forceful Gale</t>
  </si>
  <si>
    <t>https://media.discordapp.net/attachments/935612107502809149/1001686124579790928/unknown.png</t>
  </si>
  <si>
    <t>Hakaiton</t>
  </si>
  <si>
    <t>Realized Destuction Relase,Chain of Destuction</t>
  </si>
  <si>
    <t>https://images-ext-2.discordapp.net/external/FNpGRdH0GpKkNjzRyBuoaTf9SUGKDbczL95fb3D7hf0/https/media.discordapp.net/attachments/935710732132184065/967301407487176714/Hakaiton_Symbol.png</t>
  </si>
  <si>
    <t>Haruno</t>
  </si>
  <si>
    <t>https://media.discordapp.net/attachments/935611852732379218/1001678244350799982/unknown.png?width=295&amp;height=473</t>
  </si>
  <si>
    <t>Iburi</t>
  </si>
  <si>
    <t>Latnent Smoke Release,Will-O-Wisps</t>
  </si>
  <si>
    <t>Aberrations of Smoke, Smoke Release</t>
  </si>
  <si>
    <t>https://media.discordapp.net/attachments/310627186749210625/960279191616647208/unknown.png</t>
  </si>
  <si>
    <t>Keton</t>
  </si>
  <si>
    <t>Energy Overflow</t>
  </si>
  <si>
    <t>https://media.discordapp.net/attachments/935611852732379218/959479240808607824/unknown.png</t>
  </si>
  <si>
    <t>Konjiki</t>
  </si>
  <si>
    <t>Weapon Formation</t>
  </si>
  <si>
    <t>Blood of the Earth</t>
  </si>
  <si>
    <t>Realized Steel Release,Reinforced and Pressurized</t>
  </si>
  <si>
    <t>https://media.discordapp.net/attachments/935611852732379218/969705396233207869/unknown.png</t>
  </si>
  <si>
    <t>Kozu</t>
  </si>
  <si>
    <t>Latent Cloud Release</t>
  </si>
  <si>
    <t>Cloud Relase, Free Flowing</t>
  </si>
  <si>
    <t>https://media.discordapp.net/attachments/935710732132184065/978776892347912203/unknown.png</t>
  </si>
  <si>
    <t>Mugen</t>
  </si>
  <si>
    <t>Spectrum</t>
  </si>
  <si>
    <t>Infinity</t>
  </si>
  <si>
    <t>Spectrum (2)</t>
  </si>
  <si>
    <t>https://media.discordapp.net/attachments/935612107502809149/1001686833152921690/unknown.png?width=474&amp;height=473</t>
  </si>
  <si>
    <t>Humano Sintético</t>
  </si>
  <si>
    <t>Soft Physique Modification,Raw Chakra Form</t>
  </si>
  <si>
    <t>Immune System</t>
  </si>
  <si>
    <t>https://cdn.discordapp.com/attachments/935612107502809149/1001688766651584512/unknown.png</t>
  </si>
  <si>
    <t>Ōtsutsuki</t>
  </si>
  <si>
    <t>Byakugan</t>
  </si>
  <si>
    <t>Ōtsutsuki Talent,Space Bodies</t>
  </si>
  <si>
    <t>Ōtsutsuki Talent (2),Space Bodies</t>
  </si>
  <si>
    <t>https://media.discordapp.net/attachments/935612107502809149/1001687244551225404/unknown.png</t>
  </si>
  <si>
    <t>Ouyoku</t>
  </si>
  <si>
    <t>Junsugan,Enhanced Sight</t>
  </si>
  <si>
    <t>Polendina</t>
  </si>
  <si>
    <t>Boosters</t>
  </si>
  <si>
    <t>https://media.discordapp.net/attachments/935612107502809149/1001688995421503568/unknown.png</t>
  </si>
  <si>
    <t>Shinigami</t>
  </si>
  <si>
    <t>Zanpakuto,Kido Training Path, Mastered Body and Mind</t>
  </si>
  <si>
    <t>Shikai, Death's Chosen</t>
  </si>
  <si>
    <t>https://media.discordapp.net/attachments/935612107502809149/1001689153827766312/unknown.png</t>
  </si>
  <si>
    <t>Tayuya</t>
  </si>
  <si>
    <t>Auditory Weaponry, Precise Performance</t>
  </si>
  <si>
    <t>Reckless Genjutsu</t>
  </si>
  <si>
    <t>https://media.discordapp.net/attachments/935612107502809149/1001689320672989234/unknown.png?width=473&amp;height=473</t>
  </si>
  <si>
    <t>Variant Senju</t>
  </si>
  <si>
    <t>Strong Bloodline</t>
  </si>
  <si>
    <t>Senju Superiority</t>
  </si>
  <si>
    <t>https://media.discordapp.net/attachments/935612107502809149/1001689600756023316/229212.png?width=473&amp;height=473</t>
  </si>
  <si>
    <t>Wukong (Low Class)</t>
  </si>
  <si>
    <t>Quick Adaptability</t>
  </si>
  <si>
    <t>Latent Zenaki Boost</t>
  </si>
  <si>
    <t>https://media.discordapp.net/attachments/913902714419830845/914025475821686824/Lowclass_Symbol.png</t>
  </si>
  <si>
    <t>Yamada</t>
  </si>
  <si>
    <t>Talented Blade</t>
  </si>
  <si>
    <t>Single-Swing Style I</t>
  </si>
  <si>
    <t>Sharpened Edge</t>
  </si>
  <si>
    <t>Single -Swing Style II</t>
  </si>
  <si>
    <t>Latent Talented Blade I,Latent Talented Blade II,Latent Balance of Emotion I,Latent Balance of Emotion II,Latent Single-Swing Style I,Latent Single-Swing Style II,Latent Single-Swing Style III,Latent Sharpened Edge I,Latent Sharpened Edge II,D-Rank Hijutsu,C-Rank Hijutsu,B-Rank Hijutsu,A-Rank Hijutsu,Clan Feats</t>
  </si>
  <si>
    <t>2,3,2,3,2,3,5,2,3,2,2,3,3,5</t>
  </si>
  <si>
    <t>https://media.discordapp.net/attachments/935612107502809149/1001690892945596496/kisspng-sengoku-period-tokugawa-shogunate-oda-clan-mon-tak-5af52e8c05d6d9.2093698315260176760239.png</t>
  </si>
  <si>
    <t>Servo de Jashin</t>
  </si>
  <si>
    <t>Gouken (Rework)</t>
  </si>
  <si>
    <t>Momochi</t>
  </si>
  <si>
    <t>Class Name</t>
  </si>
  <si>
    <t>DV</t>
  </si>
  <si>
    <t>DC</t>
  </si>
  <si>
    <t>Jutsus Conhecidos</t>
  </si>
  <si>
    <t>Jutsus Multiclasse</t>
  </si>
  <si>
    <t>Especialista em Genjutsu</t>
  </si>
  <si>
    <t>Ninja Caçador</t>
  </si>
  <si>
    <t>Operativo de Inteligência</t>
  </si>
  <si>
    <t>Ninja Médico</t>
  </si>
  <si>
    <t>Especialista em Ninjutsu</t>
  </si>
  <si>
    <t>Especialista em Taijutsu</t>
  </si>
  <si>
    <t>Especialista em Armas</t>
  </si>
  <si>
    <t>Mestre da Marionetes</t>
  </si>
  <si>
    <t>Ninja Cozinheiro</t>
  </si>
  <si>
    <t>Ninja Cientista</t>
  </si>
  <si>
    <t>Level-0-Start</t>
  </si>
  <si>
    <t>Nome da Classe</t>
  </si>
  <si>
    <t>Sub-classe</t>
  </si>
  <si>
    <t>Sedutor</t>
  </si>
  <si>
    <t>Pensamentos Corruptos</t>
  </si>
  <si>
    <t>Ilusionista</t>
  </si>
  <si>
    <t>Realidade em camadas</t>
  </si>
  <si>
    <t>Distorcionista Nebuloso</t>
  </si>
  <si>
    <t>Sereia</t>
  </si>
  <si>
    <t>Manipulador do Tempo</t>
  </si>
  <si>
    <t>Guarda da Lâmina</t>
  </si>
  <si>
    <t>Mão Necrótica</t>
  </si>
  <si>
    <t>Perseguidor Grave</t>
  </si>
  <si>
    <t>Arsenalista</t>
  </si>
  <si>
    <t>Agentes Funerários</t>
  </si>
  <si>
    <t>Vice-Agente</t>
  </si>
  <si>
    <t>Andarilho do Vazio</t>
  </si>
  <si>
    <t>Legado dos Lobos</t>
  </si>
  <si>
    <t>Agente de Inteligência</t>
  </si>
  <si>
    <t>Analista Azure</t>
  </si>
  <si>
    <t>Estrategista Calculado</t>
  </si>
  <si>
    <t>Controlador de Túmulos</t>
  </si>
  <si>
    <t>Interrogacionista</t>
  </si>
  <si>
    <t>Mente Mestra</t>
  </si>
  <si>
    <t>Precognitivo</t>
  </si>
  <si>
    <t>Mão Sombria</t>
  </si>
  <si>
    <t>Estrategista Tático</t>
  </si>
  <si>
    <t>Médico Adepto</t>
  </si>
  <si>
    <t>Medicina Negra</t>
  </si>
  <si>
    <t>Médico de Combate</t>
  </si>
  <si>
    <t>Medicina Natural</t>
  </si>
  <si>
    <t>Xamã</t>
  </si>
  <si>
    <t>Transmutador</t>
  </si>
  <si>
    <t>Andarilho das Chamas</t>
  </si>
  <si>
    <t>Especialista em Hijutsu</t>
  </si>
  <si>
    <t>Quebrador de Raios</t>
  </si>
  <si>
    <t>Mestre Sanguinio</t>
  </si>
  <si>
    <t>Mestre Escrivão</t>
  </si>
  <si>
    <t>Triturador de Pedra</t>
  </si>
  <si>
    <t>Terror da Tempestade</t>
  </si>
  <si>
    <t>Invocador</t>
  </si>
  <si>
    <t>Professor</t>
  </si>
  <si>
    <t>Traçar Talentos</t>
  </si>
  <si>
    <t>Tsunami</t>
  </si>
  <si>
    <t>Batedor Arbitrário</t>
  </si>
  <si>
    <t>Batedor Assaltante</t>
  </si>
  <si>
    <t>Batedor de Clones</t>
  </si>
  <si>
    <t>Batedor Defensivo</t>
  </si>
  <si>
    <t>Batedor Elemental</t>
  </si>
  <si>
    <t>Pathfinder-Scout</t>
  </si>
  <si>
    <t>Batedor Fantasma</t>
  </si>
  <si>
    <t>Batedor Tático</t>
  </si>
  <si>
    <t>Trickster-Scout</t>
  </si>
  <si>
    <t>New-Disturbance</t>
  </si>
  <si>
    <t>New-Ironclad</t>
  </si>
  <si>
    <t>Nin-Tai</t>
  </si>
  <si>
    <t>Legacy-Passionate-Youth</t>
  </si>
  <si>
    <t>New-Righteous-Fury</t>
  </si>
  <si>
    <t>New-Ruin</t>
  </si>
  <si>
    <t>New-Stancer</t>
  </si>
  <si>
    <t>Talento &amp; Foco</t>
  </si>
  <si>
    <t>Passionate-Flame</t>
  </si>
  <si>
    <t>Dançarino de Batalha</t>
  </si>
  <si>
    <t>Gungnir-Piercer</t>
  </si>
  <si>
    <t>Martelo Obsidiano</t>
  </si>
  <si>
    <t>Lâmina Fantasma</t>
  </si>
  <si>
    <t>Forma de Arma Primária</t>
  </si>
  <si>
    <t>Alcancer</t>
  </si>
  <si>
    <t>Samurai</t>
  </si>
  <si>
    <t>Slayer-Form</t>
  </si>
  <si>
    <t>Mist-Form</t>
  </si>
  <si>
    <t>Mestre das Marionetes</t>
  </si>
  <si>
    <t>Marionetista</t>
  </si>
  <si>
    <t>Juggernaut</t>
  </si>
  <si>
    <t>Soul-Crafter</t>
  </si>
  <si>
    <t>Cozinheiro de Batalha</t>
  </si>
  <si>
    <t>Entremetier-Chef</t>
  </si>
  <si>
    <t>Barbalista</t>
  </si>
  <si>
    <t>Chef pasteleiro</t>
  </si>
  <si>
    <t>Ninja Ciêntista</t>
  </si>
  <si>
    <t>Químico</t>
  </si>
  <si>
    <t>Jutsu Ciêntifico</t>
  </si>
  <si>
    <t>Shinobi-Ware</t>
  </si>
  <si>
    <t>Technobi</t>
  </si>
  <si>
    <t>Techsmith</t>
  </si>
  <si>
    <t>Disant-Soul</t>
  </si>
  <si>
    <t>Nightmare-Keeper</t>
  </si>
  <si>
    <t>Sensory-Type</t>
  </si>
  <si>
    <t>Unseen-Dream</t>
  </si>
  <si>
    <t>Avenger</t>
  </si>
  <si>
    <t>Black-Airforce-One</t>
  </si>
  <si>
    <t>Chronal-Assassin</t>
  </si>
  <si>
    <t>Dual-Body</t>
  </si>
  <si>
    <t>Godai-Predator</t>
  </si>
  <si>
    <t>Gambler</t>
  </si>
  <si>
    <t>Mysticism</t>
  </si>
  <si>
    <t>Quatermaster</t>
  </si>
  <si>
    <t>Subjugator</t>
  </si>
  <si>
    <t>Chakra-Scalpel-Especialist</t>
  </si>
  <si>
    <t>Elemental-Medic</t>
  </si>
  <si>
    <t>Diamond-Heart</t>
  </si>
  <si>
    <t>Spiritual Scribe</t>
  </si>
  <si>
    <t>Brawl-Master</t>
  </si>
  <si>
    <t>Imbuement-Master</t>
  </si>
  <si>
    <t>Ink-Painter</t>
  </si>
  <si>
    <t>Ryo-Master</t>
  </si>
  <si>
    <t>Kingdom-Keeper-Scout</t>
  </si>
  <si>
    <t>Physician-Scout</t>
  </si>
  <si>
    <t>Rapper-Scout</t>
  </si>
  <si>
    <t>Champion-Form</t>
  </si>
  <si>
    <t>Demon-Slayer</t>
  </si>
  <si>
    <t>Double-Edge-Form</t>
  </si>
  <si>
    <t>Heavenly-Breath-Form</t>
  </si>
  <si>
    <t>sobrevivente</t>
  </si>
  <si>
    <t>Showmaster</t>
  </si>
  <si>
    <t>Weaver</t>
  </si>
  <si>
    <t>Show-Cook</t>
  </si>
  <si>
    <t>Fry-Cook</t>
  </si>
  <si>
    <t>Elemental-Innovationist</t>
  </si>
  <si>
    <t>Granadeiro</t>
  </si>
  <si>
    <t>S.N.B-Especialist</t>
  </si>
  <si>
    <t>E-Rank</t>
  </si>
  <si>
    <t>Modificador</t>
  </si>
  <si>
    <t>Mod de Classe</t>
  </si>
  <si>
    <t>Instructions</t>
  </si>
  <si>
    <t>Modificando</t>
  </si>
  <si>
    <t>Entrada Manual</t>
  </si>
  <si>
    <t>Condições</t>
  </si>
  <si>
    <t xml:space="preserve"> </t>
  </si>
  <si>
    <t>Character Info</t>
  </si>
  <si>
    <t>PV Max</t>
  </si>
  <si>
    <t>Extra Character Info</t>
  </si>
  <si>
    <t>Chakra Max</t>
  </si>
  <si>
    <t>Puppet Master Sheet (2024)</t>
  </si>
  <si>
    <t>Dado de Vida</t>
  </si>
  <si>
    <t>Combat Unification</t>
  </si>
  <si>
    <t>Dado de Chakra</t>
  </si>
  <si>
    <t>Summon Sheet</t>
  </si>
  <si>
    <t>Jutsu Cards</t>
  </si>
  <si>
    <t>Iniciativa</t>
  </si>
  <si>
    <t xml:space="preserve">Allies Status Sheet (Optional) </t>
  </si>
  <si>
    <t>Mov (base)</t>
  </si>
  <si>
    <t>Lists</t>
  </si>
  <si>
    <t>ClassChartgen</t>
  </si>
  <si>
    <t>Puppet Master Sheet (v5.0.0) (Beta)</t>
  </si>
  <si>
    <t>FOR fixo</t>
  </si>
  <si>
    <t>How to add Homebrew stuff</t>
  </si>
  <si>
    <t>Jutsu Sheet</t>
  </si>
  <si>
    <t>DES fixa</t>
  </si>
  <si>
    <t>Jutsu List (Courtesy of Kane)</t>
  </si>
  <si>
    <t>Feature Lookup</t>
  </si>
  <si>
    <t>CON fixo</t>
  </si>
  <si>
    <t>Modified Extra Modules</t>
  </si>
  <si>
    <t>Jovian's Extra Modules</t>
  </si>
  <si>
    <t>INT fixa</t>
  </si>
  <si>
    <t>Clan Insert Sheet</t>
  </si>
  <si>
    <t>Class Insert Sheet</t>
  </si>
  <si>
    <t>SAB fixa</t>
  </si>
  <si>
    <t>Subclass Insert Sheet</t>
  </si>
  <si>
    <t>Homebrew Insert Sheet</t>
  </si>
  <si>
    <t>CAR fixa</t>
  </si>
  <si>
    <t>Plug Sheet</t>
  </si>
  <si>
    <t>FOR resitência</t>
  </si>
  <si>
    <t>Change Log</t>
  </si>
  <si>
    <t>DES resitência</t>
  </si>
  <si>
    <t>Basebook Jutsu + Info List</t>
  </si>
  <si>
    <t>CON resitência</t>
  </si>
  <si>
    <t>INT resitência</t>
  </si>
  <si>
    <t>SAB resitência</t>
  </si>
  <si>
    <t>CAR resitência</t>
  </si>
  <si>
    <t>TODAS as  res</t>
  </si>
  <si>
    <t>Decepção</t>
  </si>
  <si>
    <t>All Skills</t>
  </si>
  <si>
    <t>Ataque de Arma</t>
  </si>
  <si>
    <t>Dano de Arma</t>
  </si>
  <si>
    <t>Dano Desarmado</t>
  </si>
  <si>
    <t>Ataque de Ninjutsu</t>
  </si>
  <si>
    <t>CD de Ninjutsu</t>
  </si>
  <si>
    <t>Ataque de Genjutsu</t>
  </si>
  <si>
    <t>CD de Genjutsu</t>
  </si>
  <si>
    <t>Ataque de Taijutsu</t>
  </si>
  <si>
    <t>CD de Taijutsu</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</si>
</sst>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quot;&quot;;&quot;&quot;;&quot;&quot;;&quot;&quot;"/>
    <numFmt numFmtId="165" formatCode="#,###"/>
    <numFmt numFmtId="166" formatCode="&quot;◉&quot;;&quot;◉&quot;;&quot;〇&quot;;&quot;◉&quot;"/>
    <numFmt numFmtId="167" formatCode="&quot;+&quot;0;&quot;-&quot;0"/>
    <numFmt numFmtId="168" formatCode="&quot;+&quot;#;&quot;-&quot;#;+0"/>
    <numFmt numFmtId="169" formatCode="+#"/>
    <numFmt numFmtId="170" formatCode="+0"/>
    <numFmt numFmtId="171" formatCode="&quot;+&quot;#;&quot;-&quot;#"/>
    <numFmt numFmtId="172" formatCode="&quot;Turn &quot;0"/>
    <numFmt numFmtId="173" formatCode="# &quot;Ryo&quot;"/>
    <numFmt numFmtId="174" formatCode="0 &quot;cm&quot;"/>
    <numFmt numFmtId="175" formatCode="&quot;+&quot;0;&quot;-&quot;0;0"/>
    <numFmt numFmtId="176" formatCode="0 &quot;Kg&quot;"/>
    <numFmt numFmtId="177" formatCode="+0;-0;0"/>
    <numFmt numFmtId="178" formatCode="="/>
    <numFmt numFmtId="179" formatCode="#"/>
    <numFmt numFmtId="180" formatCode="&quot;(+&quot;#&quot;)&quot;;&quot;(-&quot;#&quot;)&quot;;&quot;(+&quot;0&quot;)&quot;"/>
  </numFmts>
  <fonts count="135">
    <font>
      <sz val="10.0"/>
      <color rgb="FF000000"/>
      <name val="Arial"/>
      <scheme val="minor"/>
    </font>
    <font>
      <color theme="1"/>
      <name val="Alegreya"/>
    </font>
    <font>
      <b/>
      <color rgb="FFFFFFFF"/>
      <name val="Alegreya"/>
    </font>
    <font/>
    <font>
      <color theme="1"/>
      <name val="Arial"/>
      <scheme val="minor"/>
    </font>
    <font>
      <b/>
      <sz val="9.0"/>
      <color rgb="FF000000"/>
      <name val="Alegreya"/>
    </font>
    <font>
      <sz val="15.0"/>
      <color theme="1"/>
      <name val="Alegreya"/>
    </font>
    <font>
      <u/>
      <color rgb="FF0000FF"/>
      <name val="Alegreya"/>
    </font>
    <font>
      <b/>
      <i/>
      <sz val="10.0"/>
      <color rgb="FFFFFFFF"/>
      <name val="Alegreya"/>
    </font>
    <font>
      <b/>
      <sz val="9.0"/>
      <color rgb="FFFFFFFF"/>
      <name val="Alegreya"/>
    </font>
    <font>
      <color rgb="FFFFFFFF"/>
      <name val="Alegreya"/>
    </font>
    <font>
      <b/>
      <sz val="22.0"/>
      <color rgb="FFFFFFFF"/>
      <name val="Alegreya"/>
    </font>
    <font>
      <sz val="30.0"/>
      <color theme="1"/>
      <name val="Alegreya"/>
    </font>
    <font>
      <sz val="9.0"/>
      <color rgb="FF434343"/>
      <name val="Alegreya"/>
    </font>
    <font>
      <sz val="12.0"/>
      <color rgb="FFFFFFFF"/>
      <name val="Alegreya"/>
    </font>
    <font>
      <b/>
      <sz val="12.0"/>
      <color rgb="FFFFFFFF"/>
      <name val="Arial"/>
    </font>
    <font>
      <color rgb="FF434343"/>
      <name val="Alegreya"/>
    </font>
    <font>
      <sz val="9.0"/>
      <color theme="1"/>
      <name val="Alegreya"/>
    </font>
    <font>
      <sz val="27.0"/>
      <color theme="1"/>
      <name val="Alegreya"/>
    </font>
    <font>
      <sz val="19.0"/>
      <color theme="1"/>
      <name val="Alegreya"/>
    </font>
    <font>
      <sz val="13.0"/>
      <color rgb="FF000000"/>
      <name val="Alegreya"/>
    </font>
    <font>
      <sz val="8.0"/>
      <color theme="1"/>
      <name val="Alegreya"/>
    </font>
    <font>
      <b/>
      <color rgb="FF000000"/>
      <name val="Trebuchet MS"/>
    </font>
    <font>
      <b/>
      <sz val="8.0"/>
      <color theme="1"/>
      <name val="Arial"/>
    </font>
    <font>
      <sz val="13.0"/>
      <color rgb="FF434343"/>
      <name val="Alegreya"/>
    </font>
    <font>
      <b/>
      <sz val="10.0"/>
      <color rgb="FFFFFFFF"/>
      <name val="Alegreya"/>
    </font>
    <font>
      <sz val="14.0"/>
      <color rgb="FF000000"/>
      <name val="Alegreya"/>
    </font>
    <font>
      <sz val="9.0"/>
      <color rgb="FF000000"/>
      <name val="Arial"/>
    </font>
    <font>
      <color theme="1"/>
      <name val="Arial"/>
    </font>
    <font>
      <color rgb="FF999999"/>
      <name val="Georgia"/>
    </font>
    <font>
      <color rgb="FF000000"/>
      <name val="Arial"/>
    </font>
    <font>
      <b/>
      <sz val="12.0"/>
      <color theme="1"/>
      <name val="Arial"/>
    </font>
    <font>
      <i/>
      <color rgb="FF434343"/>
      <name val="Alegreya"/>
    </font>
    <font>
      <color rgb="FF999999"/>
      <name val="Alegreya"/>
    </font>
    <font>
      <sz val="9.0"/>
      <color rgb="FF000000"/>
      <name val="Alegreya"/>
    </font>
    <font>
      <sz val="21.0"/>
      <color rgb="FF000000"/>
      <name val="Alegreya"/>
    </font>
    <font>
      <b/>
      <sz val="8.0"/>
      <color theme="1"/>
      <name val="Alegreya"/>
    </font>
    <font>
      <b/>
      <color theme="1"/>
      <name val="Alegreya"/>
    </font>
    <font>
      <b/>
      <sz val="8.0"/>
      <color rgb="FFFFFFFF"/>
      <name val="Alegreya"/>
    </font>
    <font>
      <sz val="30.0"/>
      <color rgb="FF38761D"/>
      <name val="Alegreya"/>
    </font>
    <font>
      <sz val="30.0"/>
      <color rgb="FF4A86E8"/>
      <name val="Alegreya"/>
    </font>
    <font>
      <sz val="8.0"/>
      <color theme="1"/>
      <name val="Trebuchet MS"/>
    </font>
    <font>
      <sz val="8.0"/>
      <color rgb="FF000000"/>
      <name val="Alegreya"/>
    </font>
    <font>
      <sz val="30.0"/>
      <color rgb="FF990000"/>
      <name val="Alegreya"/>
    </font>
    <font>
      <sz val="15.0"/>
      <color rgb="FFFFFFFF"/>
      <name val="Alegreya"/>
    </font>
    <font>
      <sz val="16.0"/>
      <color theme="1"/>
      <name val="Alegreya"/>
    </font>
    <font>
      <sz val="11.0"/>
      <color rgb="FFFFFFFF"/>
      <name val="Alegreya"/>
    </font>
    <font>
      <i/>
      <color rgb="FF000000"/>
      <name val="Alegreya"/>
    </font>
    <font>
      <sz val="10.0"/>
      <color rgb="FF000000"/>
      <name val="Trebuchet MS"/>
    </font>
    <font>
      <b/>
      <sz val="10.0"/>
      <color theme="1"/>
      <name val="Trebuchet MS"/>
    </font>
    <font>
      <b/>
      <color rgb="FF000000"/>
      <name val="Alegreya"/>
    </font>
    <font>
      <b/>
      <sz val="12.0"/>
      <color rgb="FFFFFFFF"/>
      <name val="Trebuchet MS"/>
    </font>
    <font>
      <i/>
      <sz val="8.0"/>
      <color theme="1"/>
      <name val="Trebuchet MS"/>
    </font>
    <font>
      <b/>
      <color rgb="FFFFFFFF"/>
      <name val="Oswald"/>
    </font>
    <font>
      <sz val="9.0"/>
      <color theme="1"/>
      <name val="Georgia"/>
    </font>
    <font>
      <sz val="9.0"/>
      <color theme="1"/>
      <name val="Source Sans Pro"/>
    </font>
    <font>
      <sz val="8.0"/>
      <color theme="1"/>
      <name val="Source Sans Pro"/>
    </font>
    <font>
      <sz val="8.0"/>
      <color theme="1"/>
      <name val="Chakra Petch"/>
    </font>
    <font>
      <i/>
      <sz val="8.0"/>
      <color rgb="FF434343"/>
      <name val="Alegreya"/>
    </font>
    <font>
      <b/>
      <sz val="9.0"/>
      <color rgb="FFFFFFFF"/>
      <name val="Oswald"/>
    </font>
    <font>
      <sz val="22.0"/>
      <color theme="1"/>
      <name val="Alegreya"/>
    </font>
    <font>
      <color theme="1"/>
      <name val="Source Sans Pro"/>
    </font>
    <font>
      <b/>
      <color rgb="FFFFFFFF"/>
      <name val="Arial"/>
    </font>
    <font>
      <b/>
      <sz val="9.0"/>
      <color rgb="FF434343"/>
      <name val="Georgia"/>
    </font>
    <font>
      <sz val="9.0"/>
      <color rgb="FF434343"/>
      <name val="Georgia"/>
    </font>
    <font>
      <i/>
      <sz val="8.0"/>
      <color theme="1"/>
      <name val="Alegreya"/>
    </font>
    <font>
      <color rgb="FF000000"/>
      <name val="Alegreya"/>
    </font>
    <font>
      <sz val="10.0"/>
      <color theme="1"/>
      <name val="Alegreya"/>
    </font>
    <font>
      <i/>
      <sz val="8.0"/>
      <color rgb="FF666666"/>
      <name val="Alegreya"/>
    </font>
    <font>
      <b/>
      <i/>
      <sz val="8.0"/>
      <color rgb="FFFFFFFF"/>
      <name val="Alegreya"/>
    </font>
    <font>
      <b/>
      <i/>
      <color rgb="FFFFFFFF"/>
      <name val="Alegreya"/>
    </font>
    <font>
      <sz val="18.0"/>
      <color rgb="FF000000"/>
      <name val="Alegreya"/>
    </font>
    <font>
      <sz val="18.0"/>
      <color rgb="FFFFFFFF"/>
      <name val="Alegreya"/>
    </font>
    <font>
      <sz val="14.0"/>
      <color rgb="FFFFFFFF"/>
      <name val="Alegreya"/>
    </font>
    <font>
      <sz val="10.0"/>
      <color rgb="FF000000"/>
      <name val="Alegreya"/>
    </font>
    <font>
      <sz val="36.0"/>
      <color rgb="FF000000"/>
      <name val="Alegreya"/>
    </font>
    <font>
      <sz val="12.0"/>
      <color rgb="FF000000"/>
      <name val="Alegreya"/>
    </font>
    <font>
      <i/>
      <sz val="9.0"/>
      <color rgb="FF000000"/>
      <name val="Alegreya"/>
    </font>
    <font>
      <b/>
      <sz val="9.0"/>
      <color theme="1"/>
      <name val="Alegreya"/>
    </font>
    <font>
      <sz val="7.0"/>
      <color rgb="FF666666"/>
      <name val="Alegreya"/>
    </font>
    <font>
      <i/>
      <sz val="8.0"/>
      <color rgb="FF999999"/>
      <name val="Georgia"/>
    </font>
    <font>
      <sz val="9.0"/>
      <color rgb="FF38761D"/>
      <name val="Alegreya"/>
    </font>
    <font>
      <sz val="20.0"/>
      <color rgb="FF434343"/>
      <name val="Alegreya"/>
    </font>
    <font>
      <sz val="9.0"/>
      <color rgb="FFFF0000"/>
      <name val="Alegreya"/>
    </font>
    <font>
      <sz val="9.0"/>
      <color rgb="FFFF9900"/>
      <name val="Alegreya"/>
    </font>
    <font>
      <sz val="9.0"/>
      <color rgb="FF9900FF"/>
      <name val="Alegreya"/>
    </font>
    <font>
      <i/>
      <sz val="9.0"/>
      <color rgb="FF434343"/>
      <name val="Alegreya"/>
    </font>
    <font>
      <sz val="9.0"/>
      <color rgb="FF4A86E8"/>
      <name val="Alegreya"/>
    </font>
    <font>
      <sz val="9.0"/>
      <color rgb="FF999999"/>
      <name val="Alegreya"/>
    </font>
    <font>
      <sz val="8.0"/>
      <color rgb="FF999999"/>
      <name val="Trebuchet MS"/>
    </font>
    <font>
      <sz val="11.0"/>
      <color rgb="FF434343"/>
      <name val="Alegreya"/>
    </font>
    <font>
      <i/>
      <color theme="1"/>
      <name val="Alegreya"/>
    </font>
    <font>
      <b/>
      <i/>
      <sz val="7.0"/>
      <color theme="1"/>
      <name val="Alegreya"/>
    </font>
    <font>
      <i/>
      <color theme="1"/>
      <name val="Trebuchet MS"/>
    </font>
    <font>
      <i/>
      <color theme="1"/>
      <name val="Georgia"/>
    </font>
    <font>
      <i/>
      <sz val="9.0"/>
      <color rgb="FFFF0000"/>
      <name val="Trebuchet MS"/>
    </font>
    <font>
      <color rgb="FF000000"/>
      <name val="Georgia"/>
    </font>
    <font>
      <sz val="11.0"/>
      <color rgb="FF000000"/>
      <name val="Georgia"/>
    </font>
    <font>
      <i/>
      <color rgb="FF999999"/>
      <name val="Trebuchet MS"/>
    </font>
    <font>
      <sz val="12.0"/>
      <color theme="1"/>
      <name val="Trebuchet MS"/>
    </font>
    <font>
      <color rgb="FFFF0000"/>
      <name val="Trebuchet MS"/>
    </font>
    <font>
      <i/>
      <sz val="8.0"/>
      <color rgb="FFCCCCCC"/>
      <name val="Trebuchet MS"/>
    </font>
    <font>
      <b/>
      <i/>
      <sz val="12.0"/>
      <color theme="1"/>
      <name val="Trebuchet MS"/>
    </font>
    <font>
      <sz val="8.0"/>
      <color theme="1"/>
      <name val="Georgia"/>
    </font>
    <font>
      <color theme="1"/>
      <name val="Trebuchet MS"/>
    </font>
    <font>
      <b/>
      <i/>
      <color theme="1"/>
      <name val="Trebuchet MS"/>
    </font>
    <font>
      <sz val="7.0"/>
      <color theme="1"/>
      <name val="Georgia"/>
    </font>
    <font>
      <u/>
      <sz val="8.0"/>
      <color theme="1"/>
      <name val="Trebuchet MS"/>
    </font>
    <font>
      <u/>
      <sz val="8.0"/>
      <color theme="1"/>
      <name val="Trebuchet MS"/>
    </font>
    <font>
      <sz val="8.0"/>
      <color rgb="FF434343"/>
      <name val="Trebuchet MS"/>
    </font>
    <font>
      <i/>
      <sz val="8.0"/>
      <color rgb="FF999999"/>
      <name val="Trebuchet MS"/>
    </font>
    <font>
      <sz val="8.0"/>
      <color rgb="FF000000"/>
      <name val="Georgia"/>
    </font>
    <font>
      <sz val="8.0"/>
      <color rgb="FF999999"/>
      <name val="Georgia"/>
    </font>
    <font>
      <i/>
      <color rgb="FF666666"/>
      <name val="Trebuchet MS"/>
    </font>
    <font>
      <u/>
      <color rgb="FF1155CC"/>
      <name val="Arial"/>
    </font>
    <font>
      <sz val="7.0"/>
      <color rgb="FF666666"/>
      <name val="Trebuchet MS"/>
    </font>
    <font>
      <i/>
      <color rgb="FFFFFFFF"/>
      <name val="Georgia"/>
    </font>
    <font>
      <b/>
      <sz val="13.0"/>
      <color theme="1"/>
      <name val="Georgia"/>
    </font>
    <font>
      <b/>
      <sz val="11.0"/>
      <color theme="1"/>
      <name val="Georgia"/>
    </font>
    <font>
      <b/>
      <sz val="12.0"/>
      <color theme="1"/>
      <name val="Trebuchet MS"/>
    </font>
    <font>
      <b/>
      <color theme="1"/>
      <name val="Trebuchet MS"/>
    </font>
    <font>
      <i/>
      <sz val="8.0"/>
      <color theme="1"/>
      <name val="Georgia"/>
    </font>
    <font>
      <sz val="8.0"/>
      <color theme="1"/>
      <name val="Arial"/>
    </font>
    <font>
      <sz val="9.0"/>
      <color rgb="FF434343"/>
      <name val="Trebuchet MS"/>
    </font>
    <font>
      <b/>
      <sz val="8.0"/>
      <color theme="1"/>
      <name val="Georgia"/>
    </font>
    <font>
      <color theme="1"/>
      <name val="Georgia"/>
    </font>
    <font>
      <sz val="7.0"/>
      <color theme="1"/>
      <name val="Trebuchet MS"/>
    </font>
    <font>
      <b/>
      <sz val="7.0"/>
      <color theme="1"/>
      <name val="Trebuchet MS"/>
    </font>
    <font>
      <u/>
      <color rgb="FF1155CC"/>
      <name val="Arial"/>
    </font>
    <font>
      <u/>
      <color rgb="FF1155CC"/>
      <name val="Arial"/>
    </font>
    <font>
      <u/>
      <color rgb="FF1155CC"/>
      <name val="Arial"/>
    </font>
    <font>
      <u/>
      <color rgb="FF1155CC"/>
      <name val="Arial"/>
    </font>
    <font>
      <b/>
      <sz val="9.0"/>
      <color rgb="FF000000"/>
      <name val="Georgia"/>
    </font>
    <font>
      <sz val="10.0"/>
      <color theme="1"/>
      <name val="Trebuchet MS"/>
    </font>
    <font>
      <sz val="10.0"/>
      <color theme="1"/>
      <name val="Arial"/>
      <scheme val="minor"/>
    </font>
  </fonts>
  <fills count="48">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980000"/>
        <bgColor rgb="FF980000"/>
      </patternFill>
    </fill>
    <fill>
      <patternFill patternType="solid">
        <fgColor rgb="FFF4CCCC"/>
        <bgColor rgb="FFF4CCCC"/>
      </patternFill>
    </fill>
    <fill>
      <patternFill patternType="solid">
        <fgColor rgb="FFD9D9D9"/>
        <bgColor rgb="FFD9D9D9"/>
      </patternFill>
    </fill>
    <fill>
      <patternFill patternType="solid">
        <fgColor rgb="FF434343"/>
        <bgColor rgb="FF434343"/>
      </patternFill>
    </fill>
    <fill>
      <patternFill patternType="solid">
        <fgColor rgb="FFEFEFEF"/>
        <bgColor rgb="FFEFEFEF"/>
      </patternFill>
    </fill>
    <fill>
      <patternFill patternType="solid">
        <fgColor rgb="FFEA9999"/>
        <bgColor rgb="FFEA9999"/>
      </patternFill>
    </fill>
    <fill>
      <patternFill patternType="solid">
        <fgColor rgb="FFF9CB9C"/>
        <bgColor rgb="FFF9CB9C"/>
      </patternFill>
    </fill>
    <fill>
      <patternFill patternType="solid">
        <fgColor rgb="FFA4C2F4"/>
        <bgColor rgb="FFA4C2F4"/>
      </patternFill>
    </fill>
    <fill>
      <patternFill patternType="solid">
        <fgColor rgb="FFB4A7D6"/>
        <bgColor rgb="FFB4A7D6"/>
      </patternFill>
    </fill>
    <fill>
      <patternFill patternType="solid">
        <fgColor rgb="FFFCE5CD"/>
        <bgColor rgb="FFFCE5CD"/>
      </patternFill>
    </fill>
    <fill>
      <patternFill patternType="solid">
        <fgColor rgb="FFC9DAF8"/>
        <bgColor rgb="FFC9DAF8"/>
      </patternFill>
    </fill>
    <fill>
      <patternFill patternType="solid">
        <fgColor rgb="FFD9D2E9"/>
        <bgColor rgb="FFD9D2E9"/>
      </patternFill>
    </fill>
    <fill>
      <patternFill patternType="solid">
        <fgColor rgb="FFDDDDDD"/>
        <bgColor rgb="FFDDDDDD"/>
      </patternFill>
    </fill>
    <fill>
      <patternFill patternType="solid">
        <fgColor rgb="FFCCCCCC"/>
        <bgColor rgb="FFCCCCCC"/>
      </patternFill>
    </fill>
    <fill>
      <patternFill patternType="solid">
        <fgColor rgb="FF666666"/>
        <bgColor rgb="FF666666"/>
      </patternFill>
    </fill>
    <fill>
      <patternFill patternType="solid">
        <fgColor rgb="FF800000"/>
        <bgColor rgb="FF800000"/>
      </patternFill>
    </fill>
    <fill>
      <patternFill patternType="solid">
        <fgColor rgb="FFE6B8AF"/>
        <bgColor rgb="FFE6B8AF"/>
      </patternFill>
    </fill>
    <fill>
      <patternFill patternType="solid">
        <fgColor rgb="FF7F6000"/>
        <bgColor rgb="FF7F6000"/>
      </patternFill>
    </fill>
    <fill>
      <patternFill patternType="solid">
        <fgColor rgb="FF4C1130"/>
        <bgColor rgb="FF4C1130"/>
      </patternFill>
    </fill>
    <fill>
      <patternFill patternType="solid">
        <fgColor rgb="FF20124D"/>
        <bgColor rgb="FF20124D"/>
      </patternFill>
    </fill>
    <fill>
      <patternFill patternType="solid">
        <fgColor rgb="FFE6E7E7"/>
        <bgColor rgb="FFE6E7E7"/>
      </patternFill>
    </fill>
    <fill>
      <patternFill patternType="solid">
        <fgColor rgb="FFFFE599"/>
        <bgColor rgb="FFFFE599"/>
      </patternFill>
    </fill>
    <fill>
      <patternFill patternType="solid">
        <fgColor rgb="FFDFDFDF"/>
        <bgColor rgb="FFDFDFDF"/>
      </patternFill>
    </fill>
    <fill>
      <patternFill patternType="solid">
        <fgColor rgb="FFBDBDBD"/>
        <bgColor rgb="FFBDBDBD"/>
      </patternFill>
    </fill>
    <fill>
      <patternFill patternType="solid">
        <fgColor rgb="FFF3F3F3"/>
        <bgColor rgb="FFF3F3F3"/>
      </patternFill>
    </fill>
    <fill>
      <patternFill patternType="solid">
        <fgColor rgb="FF93C47D"/>
        <bgColor rgb="FF93C47D"/>
      </patternFill>
    </fill>
    <fill>
      <patternFill patternType="solid">
        <fgColor rgb="FFFFD966"/>
        <bgColor rgb="FFFFD966"/>
      </patternFill>
    </fill>
    <fill>
      <patternFill patternType="solid">
        <fgColor rgb="FFF6B26B"/>
        <bgColor rgb="FFF6B26B"/>
      </patternFill>
    </fill>
    <fill>
      <patternFill patternType="solid">
        <fgColor rgb="FFCC4125"/>
        <bgColor rgb="FFCC4125"/>
      </patternFill>
    </fill>
    <fill>
      <patternFill patternType="solid">
        <fgColor rgb="FF9900FF"/>
        <bgColor rgb="FF9900FF"/>
      </patternFill>
    </fill>
    <fill>
      <patternFill patternType="solid">
        <fgColor rgb="FFE06666"/>
        <bgColor rgb="FFE06666"/>
      </patternFill>
    </fill>
    <fill>
      <patternFill patternType="solid">
        <fgColor rgb="FFB7B7B7"/>
        <bgColor rgb="FFB7B7B7"/>
      </patternFill>
    </fill>
    <fill>
      <patternFill patternType="solid">
        <fgColor rgb="FFFFF2CC"/>
        <bgColor rgb="FFFFF2CC"/>
      </patternFill>
    </fill>
    <fill>
      <patternFill patternType="solid">
        <fgColor rgb="FFB6D7A8"/>
        <bgColor rgb="FFB6D7A8"/>
      </patternFill>
    </fill>
    <fill>
      <patternFill patternType="solid">
        <fgColor rgb="FFD9EAD3"/>
        <bgColor rgb="FFD9EAD3"/>
      </patternFill>
    </fill>
    <fill>
      <patternFill patternType="solid">
        <fgColor rgb="FF6FA8DC"/>
        <bgColor rgb="FF6FA8DC"/>
      </patternFill>
    </fill>
    <fill>
      <patternFill patternType="solid">
        <fgColor rgb="FF9FC5E8"/>
        <bgColor rgb="FF9FC5E8"/>
      </patternFill>
    </fill>
    <fill>
      <patternFill patternType="solid">
        <fgColor rgb="FFCFE2F3"/>
        <bgColor rgb="FFCFE2F3"/>
      </patternFill>
    </fill>
    <fill>
      <patternFill patternType="solid">
        <fgColor rgb="FF3D85C6"/>
        <bgColor rgb="FF3D85C6"/>
      </patternFill>
    </fill>
    <fill>
      <patternFill patternType="solid">
        <fgColor rgb="FF6D9EEB"/>
        <bgColor rgb="FF6D9EEB"/>
      </patternFill>
    </fill>
    <fill>
      <patternFill patternType="solid">
        <fgColor rgb="FFC27BA0"/>
        <bgColor rgb="FFC27BA0"/>
      </patternFill>
    </fill>
    <fill>
      <patternFill patternType="solid">
        <fgColor rgb="FFD5A6BD"/>
        <bgColor rgb="FFD5A6BD"/>
      </patternFill>
    </fill>
    <fill>
      <patternFill patternType="solid">
        <fgColor rgb="FFEAD1DC"/>
        <bgColor rgb="FFEAD1DC"/>
      </patternFill>
    </fill>
    <fill>
      <patternFill patternType="solid">
        <fgColor rgb="FF8E7CC3"/>
        <bgColor rgb="FF8E7CC3"/>
      </patternFill>
    </fill>
  </fills>
  <borders count="134">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double">
        <color rgb="FF000000"/>
      </left>
      <top style="double">
        <color rgb="FF000000"/>
      </top>
    </border>
    <border>
      <top style="double">
        <color rgb="FF000000"/>
      </top>
      <bottom style="thin">
        <color rgb="FF000000"/>
      </bottom>
    </border>
    <border>
      <right style="double">
        <color rgb="FF000000"/>
      </right>
      <top style="double">
        <color rgb="FF000000"/>
      </top>
    </border>
    <border>
      <top style="double">
        <color rgb="FF000000"/>
      </top>
    </border>
    <border>
      <top style="thin">
        <color rgb="FF000000"/>
      </top>
      <bottom style="thin">
        <color rgb="FFD9D9D9"/>
      </bottom>
    </border>
    <border>
      <left style="double">
        <color rgb="FF000000"/>
      </left>
      <top style="thin">
        <color rgb="FF000000"/>
      </top>
    </border>
    <border>
      <right style="double">
        <color rgb="FF000000"/>
      </right>
      <top style="thin">
        <color rgb="FF000000"/>
      </top>
    </border>
    <border>
      <left style="double">
        <color rgb="FF000000"/>
      </left>
    </border>
    <border>
      <right style="double">
        <color rgb="FF000000"/>
      </right>
    </border>
    <border>
      <left style="double">
        <color rgb="FF000000"/>
      </left>
      <top style="thin">
        <color rgb="FF000000"/>
      </top>
      <bottom style="thin">
        <color rgb="FF000000"/>
      </bottom>
    </border>
    <border>
      <right style="double">
        <color rgb="FF000000"/>
      </right>
      <top style="thin">
        <color rgb="FF000000"/>
      </top>
      <bottom style="thin">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DDDDDD"/>
      </bottom>
    </border>
    <border>
      <right style="thin">
        <color rgb="FF000000"/>
      </right>
      <bottom style="thin">
        <color rgb="FFDDDDDD"/>
      </bottom>
    </border>
    <border>
      <bottom style="thin">
        <color rgb="FFFFFFFF"/>
      </bottom>
    </border>
    <border>
      <right style="thin">
        <color rgb="FF000000"/>
      </right>
      <top style="thin">
        <color rgb="FF000000"/>
      </top>
      <bottom style="thin">
        <color rgb="FFD9D9D9"/>
      </bottom>
    </border>
    <border>
      <top style="thin">
        <color rgb="FFD9D9D9"/>
      </top>
      <bottom style="thin">
        <color rgb="FF000000"/>
      </bottom>
    </border>
    <border>
      <right style="thin">
        <color rgb="FF000000"/>
      </right>
      <top style="thin">
        <color rgb="FFD9D9D9"/>
      </top>
      <bottom style="thin">
        <color rgb="FF000000"/>
      </bottom>
    </border>
    <border>
      <bottom style="thin">
        <color rgb="FFD9D9D9"/>
      </bottom>
    </border>
    <border>
      <top style="thin">
        <color rgb="FFCCCCCC"/>
      </top>
      <bottom style="thin">
        <color rgb="FFCCCCCC"/>
      </bottom>
    </border>
    <border>
      <top style="thin">
        <color rgb="FFCCCCCC"/>
      </top>
      <bottom style="thin">
        <color rgb="FF000000"/>
      </bottom>
    </border>
    <border>
      <right style="thin">
        <color rgb="FFFFFFFF"/>
      </right>
      <top style="thin">
        <color rgb="FF000000"/>
      </top>
    </border>
    <border>
      <top style="thin">
        <color rgb="FFCCCCCC"/>
      </top>
    </border>
    <border>
      <top style="thin">
        <color rgb="FFD9D9D9"/>
      </top>
    </border>
    <border>
      <right style="thin">
        <color rgb="FFCCCCCC"/>
      </right>
      <top style="thin">
        <color rgb="FFCCCCCC"/>
      </top>
    </border>
    <border>
      <right style="thin">
        <color rgb="FFFFFFFF"/>
      </right>
    </border>
    <border>
      <right style="thin">
        <color rgb="FFCCCCCC"/>
      </right>
    </border>
    <border>
      <bottom style="medium">
        <color rgb="FFD9D9D9"/>
      </bottom>
    </border>
    <border>
      <top style="thin">
        <color rgb="FFD9D9D9"/>
      </top>
      <bottom style="medium">
        <color rgb="FFD9D9D9"/>
      </bottom>
    </border>
    <border>
      <right style="thin">
        <color rgb="FFFFFFFF"/>
      </right>
      <bottom style="thin">
        <color rgb="FF000000"/>
      </bottom>
    </border>
    <border>
      <left style="thin">
        <color rgb="FFD9D9D9"/>
      </left>
      <top style="medium">
        <color rgb="FFD9D9D9"/>
      </top>
      <bottom style="thin">
        <color rgb="FFCCCCCC"/>
      </bottom>
    </border>
    <border>
      <top style="medium">
        <color rgb="FFD9D9D9"/>
      </top>
      <bottom style="thin">
        <color rgb="FFCCCCCC"/>
      </bottom>
    </border>
    <border>
      <right style="thin">
        <color rgb="FFCCCCCC"/>
      </right>
      <top style="medium">
        <color rgb="FFD9D9D9"/>
      </top>
      <bottom style="thin">
        <color rgb="FFCCCCCC"/>
      </bottom>
    </border>
    <border>
      <left style="thin">
        <color rgb="FFD9D9D9"/>
      </left>
    </border>
    <border>
      <left style="double">
        <color rgb="FF000000"/>
      </left>
      <top style="double">
        <color rgb="FF000000"/>
      </top>
      <bottom style="thin">
        <color rgb="FF000000"/>
      </bottom>
    </border>
    <border>
      <right style="double">
        <color rgb="FF000000"/>
      </right>
      <top style="double">
        <color rgb="FF000000"/>
      </top>
      <bottom style="thin">
        <color rgb="FF000000"/>
      </bottom>
    </border>
    <border>
      <left style="thin">
        <color rgb="FF000000"/>
      </left>
      <right style="thin">
        <color rgb="FFFFFFFF"/>
      </right>
      <top style="thin">
        <color rgb="FF000000"/>
      </top>
    </border>
    <border>
      <left style="thin">
        <color rgb="FF000000"/>
      </left>
      <right style="thin">
        <color rgb="FFFFFFFF"/>
      </right>
    </border>
    <border>
      <left style="thin">
        <color rgb="FFFFFFFF"/>
      </left>
      <top style="double">
        <color rgb="FF000000"/>
      </top>
    </border>
    <border>
      <right style="thin">
        <color rgb="FFFFFFFF"/>
      </right>
      <top style="double">
        <color rgb="FF000000"/>
      </top>
    </border>
    <border>
      <left style="thin">
        <color rgb="FF000000"/>
      </left>
      <top style="double">
        <color rgb="FF000000"/>
      </top>
    </border>
    <border>
      <right style="thin">
        <color rgb="FF000000"/>
      </right>
      <top style="double">
        <color rgb="FF000000"/>
      </top>
    </border>
    <border>
      <left style="thin">
        <color rgb="FFFFFFFF"/>
      </left>
      <right style="double">
        <color rgb="FF000000"/>
      </right>
      <top style="double">
        <color rgb="FF000000"/>
      </top>
    </border>
    <border>
      <right style="thin">
        <color rgb="FFFFFFFF"/>
      </right>
      <bottom style="thin">
        <color rgb="FFFFFFFF"/>
      </bottom>
    </border>
    <border>
      <left style="thin">
        <color rgb="FFFFFFFF"/>
      </left>
      <top style="thin">
        <color rgb="FFFFFFFF"/>
      </top>
      <bottom style="thin">
        <color rgb="FFFFFFFF"/>
      </bottom>
    </border>
    <border>
      <left style="double">
        <color rgb="FF000000"/>
      </left>
      <right style="thin">
        <color rgb="FFFFFFFF"/>
      </right>
      <top style="double">
        <color rgb="FF000000"/>
      </top>
    </border>
    <border>
      <left style="thin">
        <color rgb="FFFFFFFF"/>
      </left>
      <right style="thin">
        <color rgb="FFFFFFFF"/>
      </right>
      <top style="double">
        <color rgb="FF000000"/>
      </top>
    </border>
    <border>
      <right style="thin">
        <color rgb="FFFFFFFF"/>
      </right>
      <top style="thin">
        <color rgb="FFFFFFFF"/>
      </top>
      <bottom style="thin">
        <color rgb="FFFFFFFF"/>
      </bottom>
    </border>
    <border>
      <left style="thin">
        <color rgb="FFFFFFFF"/>
      </left>
      <right style="double">
        <color rgb="FF000000"/>
      </right>
    </border>
    <border>
      <left style="double">
        <color rgb="FF000000"/>
      </left>
      <right style="thin">
        <color rgb="FFFFFFFF"/>
      </right>
    </border>
    <border>
      <left style="thin">
        <color rgb="FFFFFFFF"/>
      </left>
    </border>
    <border>
      <left style="thin">
        <color rgb="FFFFFFFF"/>
      </left>
      <bottom style="thin">
        <color rgb="FFFFFFFF"/>
      </bottom>
    </border>
    <border>
      <left style="thin">
        <color rgb="FFFFFFFF"/>
      </left>
      <right style="thin">
        <color rgb="FFFFFFFF"/>
      </right>
      <bottom style="thin">
        <color rgb="FFFFFFFF"/>
      </bottom>
    </border>
    <border>
      <left style="thin">
        <color rgb="FFFFFFFF"/>
      </left>
      <bottom style="thin">
        <color rgb="FF000000"/>
      </bottom>
    </border>
    <border>
      <left style="thin">
        <color rgb="FFFFFFFF"/>
      </left>
      <top style="thin">
        <color rgb="FF000000"/>
      </top>
    </border>
    <border>
      <left style="thin">
        <color rgb="FFFFFFFF"/>
      </left>
      <right style="thin">
        <color rgb="FFFFFFFF"/>
      </right>
    </border>
    <border>
      <left style="thin">
        <color rgb="FFFFFFFF"/>
      </left>
      <right style="thin">
        <color rgb="FFFFFFFF"/>
      </right>
      <top style="thin">
        <color rgb="FFFFFFFF"/>
      </top>
      <bottom style="thin">
        <color rgb="FFFFFFFF"/>
      </bottom>
    </border>
    <border>
      <left style="thin">
        <color rgb="FF000000"/>
      </left>
      <top style="thin">
        <color rgb="FFFFFFFF"/>
      </top>
    </border>
    <border>
      <top style="thin">
        <color rgb="FFFFFFFF"/>
      </top>
    </border>
    <border>
      <right style="thin">
        <color rgb="FF000000"/>
      </right>
      <top style="thin">
        <color rgb="FFFFFFFF"/>
      </top>
    </border>
    <border>
      <left style="thin">
        <color rgb="FF000000"/>
      </left>
      <top style="thin">
        <color rgb="FF000000"/>
      </top>
      <bottom style="thin">
        <color rgb="FFFFFFFF"/>
      </bottom>
    </border>
    <border>
      <top style="thin">
        <color rgb="FF000000"/>
      </top>
      <bottom style="thin">
        <color rgb="FFFFFFFF"/>
      </bottom>
    </border>
    <border>
      <right style="thin">
        <color rgb="FFD9D9D9"/>
      </right>
      <top style="thin">
        <color rgb="FF000000"/>
      </top>
      <bottom style="thin">
        <color rgb="FFFFFFFF"/>
      </bottom>
    </border>
    <border>
      <right style="thin">
        <color rgb="FF000000"/>
      </right>
      <top style="thin">
        <color rgb="FF000000"/>
      </top>
      <bottom style="thin">
        <color rgb="FFFFFFFF"/>
      </bottom>
    </border>
    <border>
      <left style="double">
        <color rgb="FF000000"/>
      </left>
      <right style="thin">
        <color rgb="FFFFFFFF"/>
      </right>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right style="thin">
        <color rgb="FFFFFFFF"/>
      </right>
      <top style="thin">
        <color rgb="FFFFFFFF"/>
      </top>
      <bottom style="double">
        <color rgb="FF000000"/>
      </bottom>
    </border>
    <border>
      <left style="thin">
        <color rgb="FFFFFFFF"/>
      </left>
      <top style="thin">
        <color rgb="FFFFFFFF"/>
      </top>
      <bottom style="double">
        <color rgb="FF000000"/>
      </bottom>
    </border>
    <border>
      <left style="thin">
        <color rgb="FFFFFFFF"/>
      </left>
      <right style="double">
        <color rgb="FF000000"/>
      </right>
      <bottom style="double">
        <color rgb="FF000000"/>
      </bottom>
    </border>
    <border>
      <left style="thin">
        <color rgb="FF000000"/>
      </left>
      <right style="thin">
        <color rgb="FFFFFFFF"/>
      </right>
      <top style="thin">
        <color rgb="FFFFFFFF"/>
      </top>
      <bottom style="thin">
        <color rgb="FF000000"/>
      </bottom>
    </border>
    <border>
      <left style="thin">
        <color rgb="FFFFFFFF"/>
      </left>
      <top style="thin">
        <color rgb="FFFFFFFF"/>
      </top>
      <bottom style="thin">
        <color rgb="FF000000"/>
      </bottom>
    </border>
    <border>
      <right style="thin">
        <color rgb="FFD9D9D9"/>
      </right>
      <top style="thin">
        <color rgb="FFFFFFFF"/>
      </top>
      <bottom style="thin">
        <color rgb="FF000000"/>
      </bottom>
    </border>
    <border>
      <top style="thin">
        <color rgb="FFFFFFFF"/>
      </top>
      <bottom style="thin">
        <color rgb="FF000000"/>
      </bottom>
    </border>
    <border>
      <right style="thin">
        <color rgb="FF000000"/>
      </right>
      <top style="thin">
        <color rgb="FFFFFFFF"/>
      </top>
      <bottom style="thin">
        <color rgb="FF000000"/>
      </bottom>
    </border>
    <border>
      <left style="thin">
        <color rgb="FFFFFFFF"/>
      </left>
      <bottom style="double">
        <color rgb="FF000000"/>
      </bottom>
    </border>
    <border>
      <right style="thin">
        <color rgb="FFFFFFFF"/>
      </right>
      <bottom style="double">
        <color rgb="FF000000"/>
      </bottom>
    </border>
    <border>
      <left style="thin">
        <color rgb="FFFFFFFF"/>
      </left>
      <right style="thin">
        <color rgb="FFFFFFFF"/>
      </right>
      <top style="thin">
        <color rgb="FFFFFFFF"/>
      </top>
    </border>
    <border>
      <top style="thin">
        <color rgb="FFFFFFFF"/>
      </top>
      <bottom style="thin">
        <color rgb="FFFFFFFF"/>
      </bottom>
    </border>
    <border>
      <right style="thin">
        <color rgb="FFD9D9D9"/>
      </right>
      <top style="thin">
        <color rgb="FFFFFFFF"/>
      </top>
      <bottom style="thin">
        <color rgb="FFFFFFFF"/>
      </bottom>
    </border>
    <border>
      <top style="thin">
        <color rgb="FFD9D9D9"/>
      </top>
      <bottom style="thin">
        <color rgb="FFCCCCCC"/>
      </bottom>
    </border>
    <border>
      <top style="thin">
        <color rgb="FFD9D9D9"/>
      </top>
      <bottom style="thin">
        <color rgb="FFEFEFEF"/>
      </bottom>
    </border>
    <border>
      <right style="thin">
        <color rgb="FFD9D9D9"/>
      </right>
      <top style="thin">
        <color rgb="FFD9D9D9"/>
      </top>
      <bottom style="thin">
        <color rgb="FFEFEFEF"/>
      </bottom>
    </border>
    <border>
      <right style="thin">
        <color rgb="FFFFFFFF"/>
      </right>
      <top style="thin">
        <color rgb="FFFFFFFF"/>
      </top>
      <bottom style="thin">
        <color rgb="FF000000"/>
      </bottom>
    </border>
    <border>
      <right style="thin">
        <color rgb="FFD9D9D9"/>
      </right>
      <top style="thin">
        <color rgb="FFD9D9D9"/>
      </top>
    </border>
    <border>
      <right style="thin">
        <color rgb="FFFFFFFF"/>
      </right>
      <top style="thin">
        <color rgb="FF000000"/>
      </top>
      <bottom style="double">
        <color rgb="FF000000"/>
      </bottom>
    </border>
    <border>
      <left style="thin">
        <color rgb="FFFFFFFF"/>
      </left>
      <top style="thin">
        <color rgb="FF000000"/>
      </top>
      <bottom style="double">
        <color rgb="FF000000"/>
      </bottom>
    </border>
    <border>
      <left style="thin">
        <color rgb="FFFFFFFF"/>
      </left>
      <right style="thin">
        <color rgb="FFFFFFFF"/>
      </right>
      <top style="thin">
        <color rgb="FF000000"/>
      </top>
    </border>
    <border>
      <left style="thin">
        <color rgb="FFFFFFFF"/>
      </left>
      <right style="thin">
        <color rgb="FFFFFFFF"/>
      </right>
      <bottom style="thin">
        <color rgb="FF000000"/>
      </bottom>
    </border>
    <border>
      <left style="thin">
        <color rgb="FFFFFFFF"/>
      </left>
      <top style="thin">
        <color rgb="FFFFFFFF"/>
      </top>
    </border>
    <border>
      <left style="double">
        <color rgb="FF000000"/>
      </left>
      <bottom style="thin">
        <color rgb="FF000000"/>
      </bottom>
    </border>
    <border>
      <right style="double">
        <color rgb="FF000000"/>
      </right>
      <bottom style="thin">
        <color rgb="FF000000"/>
      </bottom>
    </border>
    <border>
      <left style="double">
        <color rgb="FF000000"/>
      </left>
      <bottom style="thin">
        <color rgb="FFFFFFFF"/>
      </bottom>
    </border>
    <border>
      <right style="thin">
        <color rgb="FFE6E7E7"/>
      </right>
      <bottom style="thin">
        <color rgb="FFFFFFFF"/>
      </bottom>
    </border>
    <border>
      <left style="thin">
        <color rgb="FFE6E7E7"/>
      </left>
      <top style="thin">
        <color rgb="FF000000"/>
      </top>
    </border>
    <border>
      <right style="thin">
        <color rgb="FFFFFFFF"/>
      </right>
      <top style="thin">
        <color rgb="FFFFFFFF"/>
      </top>
    </border>
    <border>
      <left style="double">
        <color rgb="FF000000"/>
      </left>
      <right style="thin">
        <color rgb="FFFFFFFF"/>
      </right>
      <top style="thin">
        <color rgb="FFFFFFFF"/>
      </top>
    </border>
    <border>
      <right style="double">
        <color rgb="FF000000"/>
      </right>
      <top style="thin">
        <color rgb="FFFFFFFF"/>
      </top>
    </border>
    <border>
      <left style="double">
        <color rgb="FF000000"/>
      </left>
      <right style="thin">
        <color rgb="FFFFFFFF"/>
      </right>
      <bottom style="thin">
        <color rgb="FF000000"/>
      </bottom>
    </border>
    <border>
      <left style="thin">
        <color rgb="FFE6E7E7"/>
      </left>
    </border>
    <border>
      <left style="thin">
        <color rgb="FF000000"/>
      </left>
      <bottom style="thin">
        <color rgb="FFFFFFFF"/>
      </bottom>
    </border>
    <border>
      <right style="thin">
        <color rgb="FF000000"/>
      </right>
      <bottom style="thin">
        <color rgb="FFFFFFFF"/>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thin">
        <color rgb="FF000000"/>
      </left>
      <bottom style="double">
        <color rgb="FF000000"/>
      </bottom>
    </border>
    <border>
      <right style="thin">
        <color rgb="FF000000"/>
      </right>
      <bottom style="double">
        <color rgb="FF000000"/>
      </bottom>
    </border>
    <border>
      <top style="thin">
        <color rgb="FFFFFFFF"/>
      </top>
      <bottom style="double">
        <color rgb="FF000000"/>
      </bottom>
    </border>
    <border>
      <left style="thin">
        <color rgb="FF000000"/>
      </left>
      <right style="thin">
        <color rgb="FFFFFFFF"/>
      </right>
      <bottom style="thin">
        <color rgb="FFFFFFFF"/>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medium">
        <color rgb="FF000000"/>
      </left>
      <right style="thin">
        <color rgb="FF000000"/>
      </right>
      <bottom style="thin">
        <color rgb="FF000000"/>
      </bottom>
    </border>
  </borders>
  <cellStyleXfs count="1">
    <xf borderId="0" fillId="0" fontId="0" numFmtId="0" applyAlignment="1" applyFont="1"/>
  </cellStyleXfs>
  <cellXfs count="818">
    <xf borderId="0" fillId="0" fontId="0" numFmtId="0" xfId="0" applyAlignment="1" applyFont="1">
      <alignment readingOrder="0" shrinkToFit="0" vertical="bottom" wrapText="0"/>
    </xf>
    <xf borderId="0" fillId="0" fontId="1" numFmtId="164" xfId="0" applyAlignment="1" applyFont="1" applyNumberFormat="1">
      <alignment readingOrder="0" vertical="bottom"/>
    </xf>
    <xf borderId="0" fillId="0" fontId="1" numFmtId="164" xfId="0" applyAlignment="1" applyFont="1" applyNumberFormat="1">
      <alignment vertical="bottom"/>
    </xf>
    <xf borderId="0" fillId="0" fontId="1" numFmtId="0" xfId="0" applyAlignment="1" applyFont="1">
      <alignment vertical="bottom"/>
    </xf>
    <xf borderId="1" fillId="2" fontId="2" numFmtId="0" xfId="0" applyAlignment="1" applyBorder="1" applyFill="1" applyFont="1">
      <alignment readingOrder="0" vertical="bottom"/>
    </xf>
    <xf borderId="2" fillId="0" fontId="3" numFmtId="0" xfId="0" applyBorder="1" applyFont="1"/>
    <xf borderId="1" fillId="0" fontId="1" numFmtId="0" xfId="0" applyAlignment="1" applyBorder="1" applyFont="1">
      <alignment readingOrder="0" vertical="bottom"/>
    </xf>
    <xf borderId="3" fillId="0" fontId="3" numFmtId="0" xfId="0" applyBorder="1" applyFont="1"/>
    <xf borderId="1" fillId="2" fontId="2" numFmtId="0" xfId="0" applyAlignment="1" applyBorder="1" applyFont="1">
      <alignment horizontal="center" readingOrder="0" vertical="bottom"/>
    </xf>
    <xf borderId="0" fillId="3" fontId="1" numFmtId="0" xfId="0" applyAlignment="1" applyFill="1" applyFont="1">
      <alignment horizontal="center" readingOrder="0" vertical="bottom"/>
    </xf>
    <xf borderId="4" fillId="0" fontId="4" numFmtId="0" xfId="0" applyBorder="1" applyFont="1"/>
    <xf borderId="5" fillId="0" fontId="3" numFmtId="0" xfId="0" applyBorder="1" applyFont="1"/>
    <xf borderId="6" fillId="0" fontId="3" numFmtId="0" xfId="0" applyBorder="1" applyFont="1"/>
    <xf borderId="0" fillId="3" fontId="1" numFmtId="0" xfId="0" applyAlignment="1" applyFont="1">
      <alignment readingOrder="0" vertical="bottom"/>
    </xf>
    <xf borderId="0" fillId="3" fontId="5" numFmtId="165" xfId="0" applyAlignment="1" applyFont="1" applyNumberFormat="1">
      <alignment horizontal="center" readingOrder="0" vertical="bottom"/>
    </xf>
    <xf borderId="0" fillId="0" fontId="1" numFmtId="0" xfId="0" applyAlignment="1" applyFont="1">
      <alignment readingOrder="0" vertical="bottom"/>
    </xf>
    <xf borderId="0" fillId="3" fontId="1" numFmtId="0" xfId="0" applyAlignment="1" applyFont="1">
      <alignment vertical="bottom"/>
    </xf>
    <xf borderId="4" fillId="0" fontId="6" numFmtId="0" xfId="0" applyAlignment="1" applyBorder="1" applyFont="1">
      <alignment horizontal="center" readingOrder="0" vertical="center"/>
    </xf>
    <xf borderId="7" fillId="0" fontId="3" numFmtId="0" xfId="0" applyBorder="1" applyFont="1"/>
    <xf borderId="8" fillId="0" fontId="3" numFmtId="0" xfId="0" applyBorder="1" applyFont="1"/>
    <xf borderId="1" fillId="3" fontId="7" numFmtId="0" xfId="0" applyAlignment="1" applyBorder="1" applyFont="1">
      <alignment readingOrder="0" vertical="bottom"/>
    </xf>
    <xf borderId="9" fillId="0" fontId="3" numFmtId="0" xfId="0" applyBorder="1" applyFont="1"/>
    <xf borderId="10" fillId="0" fontId="3" numFmtId="0" xfId="0" applyBorder="1" applyFont="1"/>
    <xf borderId="4" fillId="4" fontId="8" numFmtId="0" xfId="0" applyAlignment="1" applyBorder="1" applyFill="1" applyFont="1">
      <alignment horizontal="center" readingOrder="0" vertical="bottom"/>
    </xf>
    <xf borderId="0" fillId="0" fontId="1" numFmtId="0" xfId="0" applyFont="1"/>
    <xf borderId="1" fillId="0" fontId="1" numFmtId="0" xfId="0" applyAlignment="1" applyBorder="1" applyFont="1">
      <alignment vertical="bottom"/>
    </xf>
    <xf borderId="1" fillId="2" fontId="9" numFmtId="0" xfId="0" applyAlignment="1" applyBorder="1" applyFont="1">
      <alignment readingOrder="0" vertical="bottom"/>
    </xf>
    <xf borderId="0" fillId="2" fontId="10" numFmtId="0" xfId="0" applyAlignment="1" applyFont="1">
      <alignment horizontal="center" readingOrder="0" vertical="bottom"/>
    </xf>
    <xf borderId="7" fillId="4" fontId="11" numFmtId="0" xfId="0" applyAlignment="1" applyBorder="1" applyFont="1">
      <alignment vertical="center"/>
    </xf>
    <xf borderId="5" fillId="5" fontId="12" numFmtId="1" xfId="0" applyAlignment="1" applyBorder="1" applyFill="1" applyFont="1" applyNumberFormat="1">
      <alignment horizontal="center" readingOrder="0" vertical="bottom"/>
    </xf>
    <xf borderId="8" fillId="4" fontId="11" numFmtId="0" xfId="0" applyAlignment="1" applyBorder="1" applyFont="1">
      <alignment vertical="center"/>
    </xf>
    <xf borderId="11" fillId="0" fontId="3" numFmtId="0" xfId="0" applyBorder="1" applyFont="1"/>
    <xf borderId="9" fillId="4" fontId="8" numFmtId="0" xfId="0" applyAlignment="1" applyBorder="1" applyFont="1">
      <alignment horizontal="center" readingOrder="0" vertical="bottom"/>
    </xf>
    <xf borderId="0" fillId="3" fontId="4" numFmtId="0" xfId="0" applyFont="1"/>
    <xf borderId="1" fillId="2" fontId="10" numFmtId="0" xfId="0" applyAlignment="1" applyBorder="1" applyFont="1">
      <alignment horizontal="center" readingOrder="0" vertical="bottom"/>
    </xf>
    <xf borderId="12" fillId="0" fontId="4" numFmtId="0" xfId="0" applyAlignment="1" applyBorder="1" applyFont="1">
      <alignment readingOrder="0"/>
    </xf>
    <xf borderId="13" fillId="0" fontId="13" numFmtId="166" xfId="0" applyAlignment="1" applyBorder="1" applyFont="1" applyNumberFormat="1">
      <alignment horizontal="center" readingOrder="0"/>
    </xf>
    <xf borderId="14" fillId="0" fontId="4" numFmtId="0" xfId="0" applyAlignment="1" applyBorder="1" applyFont="1">
      <alignment readingOrder="0"/>
    </xf>
    <xf borderId="12" fillId="6" fontId="4" numFmtId="0" xfId="0" applyBorder="1" applyFill="1" applyFont="1"/>
    <xf borderId="15" fillId="0" fontId="3" numFmtId="0" xfId="0" applyBorder="1" applyFont="1"/>
    <xf borderId="14" fillId="0" fontId="3" numFmtId="0" xfId="0" applyBorder="1" applyFont="1"/>
    <xf borderId="12" fillId="7" fontId="10" numFmtId="0" xfId="0" applyAlignment="1" applyBorder="1" applyFill="1" applyFont="1">
      <alignment readingOrder="0"/>
    </xf>
    <xf borderId="15" fillId="6" fontId="1" numFmtId="0" xfId="0" applyAlignment="1" applyBorder="1" applyFont="1">
      <alignment readingOrder="0"/>
    </xf>
    <xf borderId="4" fillId="2" fontId="14" numFmtId="0" xfId="0" applyAlignment="1" applyBorder="1" applyFont="1">
      <alignment horizontal="center" vertical="bottom"/>
    </xf>
    <xf borderId="1" fillId="2" fontId="15" numFmtId="0" xfId="0" applyAlignment="1" applyBorder="1" applyFont="1">
      <alignment horizontal="center" readingOrder="0"/>
    </xf>
    <xf borderId="7" fillId="0" fontId="1" numFmtId="0" xfId="0" applyBorder="1" applyFont="1"/>
    <xf borderId="11" fillId="3" fontId="1" numFmtId="0" xfId="0" applyAlignment="1" applyBorder="1" applyFont="1">
      <alignment vertical="bottom"/>
    </xf>
    <xf borderId="8" fillId="0" fontId="1" numFmtId="0" xfId="0" applyBorder="1" applyFont="1"/>
    <xf borderId="7" fillId="0" fontId="13" numFmtId="166" xfId="0" applyAlignment="1" applyBorder="1" applyFont="1" applyNumberFormat="1">
      <alignment horizontal="center"/>
    </xf>
    <xf borderId="16" fillId="8" fontId="16" numFmtId="167" xfId="0" applyAlignment="1" applyBorder="1" applyFill="1" applyFont="1" applyNumberFormat="1">
      <alignment horizontal="center" readingOrder="0" vertical="bottom"/>
    </xf>
    <xf borderId="5" fillId="0" fontId="17" numFmtId="0" xfId="0" applyAlignment="1" applyBorder="1" applyFont="1">
      <alignment vertical="bottom"/>
    </xf>
    <xf borderId="17" fillId="6" fontId="18" numFmtId="168" xfId="0" applyAlignment="1" applyBorder="1" applyFont="1" applyNumberFormat="1">
      <alignment horizontal="center" readingOrder="0" vertical="center"/>
    </xf>
    <xf borderId="18" fillId="0" fontId="3" numFmtId="0" xfId="0" applyBorder="1" applyFont="1"/>
    <xf borderId="19" fillId="6" fontId="19" numFmtId="49" xfId="0" applyAlignment="1" applyBorder="1" applyFont="1" applyNumberFormat="1">
      <alignment horizontal="center" vertical="center"/>
    </xf>
    <xf borderId="20" fillId="0" fontId="3" numFmtId="0" xfId="0" applyBorder="1" applyFont="1"/>
    <xf borderId="19" fillId="7" fontId="10" numFmtId="0" xfId="0" applyAlignment="1" applyBorder="1" applyFont="1">
      <alignment readingOrder="0"/>
    </xf>
    <xf borderId="0" fillId="6" fontId="1" numFmtId="0" xfId="0" applyAlignment="1" applyFont="1">
      <alignment readingOrder="0"/>
    </xf>
    <xf borderId="4" fillId="6" fontId="20" numFmtId="0" xfId="0" applyAlignment="1" applyBorder="1" applyFont="1">
      <alignment readingOrder="0" textRotation="0" vertical="center"/>
    </xf>
    <xf borderId="4" fillId="3" fontId="21" numFmtId="0" xfId="0" applyAlignment="1" applyBorder="1" applyFont="1">
      <alignment horizontal="center" readingOrder="0"/>
    </xf>
    <xf borderId="5" fillId="3" fontId="21" numFmtId="0" xfId="0" applyAlignment="1" applyBorder="1" applyFont="1">
      <alignment horizontal="center" readingOrder="0"/>
    </xf>
    <xf borderId="6" fillId="3" fontId="21" numFmtId="0" xfId="0" applyAlignment="1" applyBorder="1" applyFont="1">
      <alignment horizontal="center" readingOrder="0"/>
    </xf>
    <xf borderId="4" fillId="6" fontId="22" numFmtId="0" xfId="0" applyAlignment="1" applyBorder="1" applyFont="1">
      <alignment horizontal="center" readingOrder="0"/>
    </xf>
    <xf borderId="4" fillId="9" fontId="23" numFmtId="0" xfId="0" applyAlignment="1" applyBorder="1" applyFill="1" applyFont="1">
      <alignment horizontal="center"/>
    </xf>
    <xf borderId="4" fillId="10" fontId="23" numFmtId="0" xfId="0" applyAlignment="1" applyBorder="1" applyFill="1" applyFont="1">
      <alignment horizontal="center"/>
    </xf>
    <xf borderId="4" fillId="11" fontId="23" numFmtId="0" xfId="0" applyAlignment="1" applyBorder="1" applyFill="1" applyFont="1">
      <alignment horizontal="center"/>
    </xf>
    <xf borderId="4" fillId="12" fontId="23" numFmtId="0" xfId="0" applyAlignment="1" applyBorder="1" applyFill="1" applyFont="1">
      <alignment horizontal="center"/>
    </xf>
    <xf borderId="1" fillId="2" fontId="2" numFmtId="0" xfId="0" applyAlignment="1" applyBorder="1" applyFont="1">
      <alignment horizontal="center" vertical="top"/>
    </xf>
    <xf borderId="0" fillId="0" fontId="17" numFmtId="0" xfId="0" applyAlignment="1" applyFont="1">
      <alignment vertical="bottom"/>
    </xf>
    <xf borderId="19" fillId="0" fontId="3" numFmtId="0" xfId="0" applyBorder="1" applyFont="1"/>
    <xf borderId="0" fillId="6" fontId="1" numFmtId="0" xfId="0" applyFont="1"/>
    <xf borderId="4" fillId="0" fontId="24" numFmtId="167" xfId="0" applyAlignment="1" applyBorder="1" applyFont="1" applyNumberFormat="1">
      <alignment horizontal="center" vertical="center"/>
    </xf>
    <xf borderId="21" fillId="2" fontId="25" numFmtId="167" xfId="0" applyAlignment="1" applyBorder="1" applyFont="1" applyNumberFormat="1">
      <alignment horizontal="center" readingOrder="0" vertical="bottom"/>
    </xf>
    <xf borderId="22" fillId="0" fontId="3" numFmtId="0" xfId="0" applyBorder="1" applyFont="1"/>
    <xf borderId="19" fillId="2" fontId="25" numFmtId="167" xfId="0" applyAlignment="1" applyBorder="1" applyFont="1" applyNumberFormat="1">
      <alignment horizontal="center" vertical="bottom"/>
    </xf>
    <xf borderId="0" fillId="0" fontId="1" numFmtId="0" xfId="0" applyAlignment="1" applyFont="1">
      <alignment readingOrder="0"/>
    </xf>
    <xf borderId="20" fillId="0" fontId="1" numFmtId="0" xfId="0" applyAlignment="1" applyBorder="1" applyFont="1">
      <alignment readingOrder="0"/>
    </xf>
    <xf borderId="4" fillId="6" fontId="26" numFmtId="0" xfId="0" applyAlignment="1" applyBorder="1" applyFont="1">
      <alignment readingOrder="0" textRotation="0" vertical="center"/>
    </xf>
    <xf borderId="1" fillId="6" fontId="27" numFmtId="0" xfId="0" applyAlignment="1" applyBorder="1" applyFont="1">
      <alignment horizontal="center" readingOrder="0" vertical="bottom"/>
    </xf>
    <xf borderId="1" fillId="9" fontId="28" numFmtId="0" xfId="0" applyBorder="1" applyFont="1"/>
    <xf borderId="1" fillId="10" fontId="28" numFmtId="0" xfId="0" applyAlignment="1" applyBorder="1" applyFont="1">
      <alignment readingOrder="0"/>
    </xf>
    <xf borderId="1" fillId="10" fontId="28" numFmtId="0" xfId="0" applyBorder="1" applyFont="1"/>
    <xf borderId="1" fillId="11" fontId="28" numFmtId="0" xfId="0" applyBorder="1" applyFont="1"/>
    <xf borderId="1" fillId="12" fontId="28" numFmtId="0" xfId="0" applyBorder="1" applyFont="1"/>
    <xf borderId="23" fillId="3" fontId="29" numFmtId="169" xfId="0" applyAlignment="1" applyBorder="1" applyFont="1" applyNumberFormat="1">
      <alignment horizontal="center" vertical="bottom"/>
    </xf>
    <xf borderId="24" fillId="0" fontId="3" numFmtId="0" xfId="0" applyBorder="1" applyFont="1"/>
    <xf borderId="25" fillId="0" fontId="3" numFmtId="0" xfId="0" applyBorder="1" applyFont="1"/>
    <xf borderId="23" fillId="2" fontId="2" numFmtId="0" xfId="0" applyAlignment="1" applyBorder="1" applyFont="1">
      <alignment horizontal="center" readingOrder="0"/>
    </xf>
    <xf borderId="1" fillId="6" fontId="30" numFmtId="0" xfId="0" applyAlignment="1" applyBorder="1" applyFont="1">
      <alignment horizontal="center" vertical="bottom"/>
    </xf>
    <xf borderId="1" fillId="5" fontId="28" numFmtId="0" xfId="0" applyBorder="1" applyFont="1"/>
    <xf borderId="1" fillId="5" fontId="31" numFmtId="0" xfId="0" applyAlignment="1" applyBorder="1" applyFont="1">
      <alignment horizontal="center"/>
    </xf>
    <xf borderId="1" fillId="13" fontId="28" numFmtId="0" xfId="0" applyBorder="1" applyFill="1" applyFont="1"/>
    <xf borderId="1" fillId="14" fontId="28" numFmtId="0" xfId="0" applyBorder="1" applyFill="1" applyFont="1"/>
    <xf borderId="1" fillId="14" fontId="31" numFmtId="0" xfId="0" applyAlignment="1" applyBorder="1" applyFont="1">
      <alignment horizontal="center"/>
    </xf>
    <xf borderId="1" fillId="15" fontId="28" numFmtId="0" xfId="0" applyBorder="1" applyFill="1" applyFont="1"/>
    <xf borderId="1" fillId="0" fontId="32" numFmtId="0" xfId="0" applyAlignment="1" applyBorder="1" applyFont="1">
      <alignment horizontal="center" readingOrder="0"/>
    </xf>
    <xf borderId="1" fillId="6" fontId="30" numFmtId="0" xfId="0" applyAlignment="1" applyBorder="1" applyFont="1">
      <alignment horizontal="center" vertical="bottom"/>
    </xf>
    <xf borderId="1" fillId="5" fontId="28" numFmtId="0" xfId="0" applyBorder="1" applyFont="1"/>
    <xf borderId="1" fillId="13" fontId="28" numFmtId="0" xfId="0" applyBorder="1" applyFont="1"/>
    <xf borderId="1" fillId="14" fontId="28" numFmtId="0" xfId="0" applyBorder="1" applyFont="1"/>
    <xf borderId="1" fillId="15" fontId="28" numFmtId="0" xfId="0" applyBorder="1" applyFont="1"/>
    <xf borderId="5" fillId="16" fontId="33" numFmtId="167" xfId="0" applyAlignment="1" applyBorder="1" applyFill="1" applyFont="1" applyNumberFormat="1">
      <alignment horizontal="center" vertical="bottom"/>
    </xf>
    <xf borderId="3" fillId="8" fontId="16" numFmtId="167" xfId="0" applyAlignment="1" applyBorder="1" applyFont="1" applyNumberFormat="1">
      <alignment horizontal="center" readingOrder="0" vertical="bottom"/>
    </xf>
    <xf borderId="11" fillId="0" fontId="17" numFmtId="0" xfId="0" applyAlignment="1" applyBorder="1" applyFont="1">
      <alignment vertical="bottom"/>
    </xf>
    <xf borderId="4" fillId="0" fontId="34" numFmtId="165" xfId="0" applyAlignment="1" applyBorder="1" applyFont="1" applyNumberFormat="1">
      <alignment horizontal="center" readingOrder="0" vertical="center"/>
    </xf>
    <xf borderId="4" fillId="0" fontId="35" numFmtId="165" xfId="0" applyAlignment="1" applyBorder="1" applyFont="1" applyNumberFormat="1">
      <alignment horizontal="center" vertical="center"/>
    </xf>
    <xf borderId="26" fillId="3" fontId="1" numFmtId="0" xfId="0" applyAlignment="1" applyBorder="1" applyFont="1">
      <alignment vertical="bottom"/>
    </xf>
    <xf borderId="26" fillId="0" fontId="34" numFmtId="165" xfId="0" applyAlignment="1" applyBorder="1" applyFont="1" applyNumberFormat="1">
      <alignment horizontal="center" readingOrder="0" vertical="bottom"/>
    </xf>
    <xf borderId="4" fillId="0" fontId="34" numFmtId="165" xfId="0" applyAlignment="1" applyBorder="1" applyFont="1" applyNumberFormat="1">
      <alignment horizontal="center" vertical="center"/>
    </xf>
    <xf borderId="5" fillId="0" fontId="4" numFmtId="0" xfId="0" applyBorder="1" applyFont="1"/>
    <xf borderId="1" fillId="2" fontId="25" numFmtId="167" xfId="0" applyAlignment="1" applyBorder="1" applyFont="1" applyNumberFormat="1">
      <alignment horizontal="center" readingOrder="0" vertical="bottom"/>
    </xf>
    <xf borderId="6" fillId="3" fontId="1" numFmtId="0" xfId="0" applyAlignment="1" applyBorder="1" applyFont="1">
      <alignment vertical="bottom"/>
    </xf>
    <xf borderId="11" fillId="0" fontId="36" numFmtId="0" xfId="0" applyAlignment="1" applyBorder="1" applyFont="1">
      <alignment horizontal="center" vertical="bottom"/>
    </xf>
    <xf borderId="11" fillId="0" fontId="1" numFmtId="0" xfId="0" applyAlignment="1" applyBorder="1" applyFont="1">
      <alignment vertical="bottom"/>
    </xf>
    <xf borderId="27" fillId="0" fontId="3" numFmtId="0" xfId="0" applyBorder="1" applyFont="1"/>
    <xf borderId="4" fillId="6" fontId="19" numFmtId="170" xfId="0" applyAlignment="1" applyBorder="1" applyFont="1" applyNumberFormat="1">
      <alignment horizontal="center" vertical="center"/>
    </xf>
    <xf borderId="5" fillId="17" fontId="3" numFmtId="0" xfId="0" applyBorder="1" applyFill="1" applyFont="1"/>
    <xf borderId="6" fillId="17" fontId="3" numFmtId="0" xfId="0" applyBorder="1" applyFont="1"/>
    <xf borderId="8" fillId="3" fontId="1" numFmtId="0" xfId="0" applyAlignment="1" applyBorder="1" applyFont="1">
      <alignment vertical="bottom"/>
    </xf>
    <xf borderId="0" fillId="3" fontId="37" numFmtId="0" xfId="0" applyAlignment="1" applyFont="1">
      <alignment vertical="bottom"/>
    </xf>
    <xf borderId="1" fillId="2" fontId="38" numFmtId="0" xfId="0" applyAlignment="1" applyBorder="1" applyFont="1">
      <alignment horizontal="center" vertical="bottom"/>
    </xf>
    <xf borderId="4" fillId="0" fontId="39" numFmtId="165" xfId="0" applyAlignment="1" applyBorder="1" applyFont="1" applyNumberFormat="1">
      <alignment horizontal="center" readingOrder="0"/>
    </xf>
    <xf borderId="4" fillId="0" fontId="40" numFmtId="165" xfId="0" applyAlignment="1" applyBorder="1" applyFont="1" applyNumberFormat="1">
      <alignment horizontal="center" readingOrder="0"/>
    </xf>
    <xf borderId="9" fillId="18" fontId="3" numFmtId="0" xfId="0" applyBorder="1" applyFill="1" applyFont="1"/>
    <xf borderId="11" fillId="18" fontId="3" numFmtId="0" xfId="0" applyBorder="1" applyFont="1"/>
    <xf borderId="10" fillId="18" fontId="3" numFmtId="0" xfId="0" applyBorder="1" applyFont="1"/>
    <xf borderId="7" fillId="0" fontId="13" numFmtId="166" xfId="0" applyAlignment="1" applyBorder="1" applyFont="1" applyNumberFormat="1">
      <alignment horizontal="center" readingOrder="0"/>
    </xf>
    <xf borderId="5" fillId="8" fontId="16" numFmtId="167" xfId="0" applyAlignment="1" applyBorder="1" applyFont="1" applyNumberFormat="1">
      <alignment horizontal="center" readingOrder="0" vertical="bottom"/>
    </xf>
    <xf borderId="5" fillId="0" fontId="41" numFmtId="0" xfId="0" applyAlignment="1" applyBorder="1" applyFont="1">
      <alignment readingOrder="0"/>
    </xf>
    <xf borderId="8" fillId="0" fontId="1" numFmtId="0" xfId="0" applyAlignment="1" applyBorder="1" applyFont="1">
      <alignment readingOrder="0"/>
    </xf>
    <xf borderId="7" fillId="3" fontId="1" numFmtId="0" xfId="0" applyBorder="1" applyFont="1"/>
    <xf borderId="4" fillId="6" fontId="19" numFmtId="49" xfId="0" applyAlignment="1" applyBorder="1" applyFont="1" applyNumberFormat="1">
      <alignment horizontal="center" vertical="center"/>
    </xf>
    <xf borderId="5" fillId="8" fontId="16" numFmtId="167" xfId="0" applyAlignment="1" applyBorder="1" applyFont="1" applyNumberFormat="1">
      <alignment horizontal="center" vertical="bottom"/>
    </xf>
    <xf borderId="0" fillId="0" fontId="41" numFmtId="0" xfId="0" applyAlignment="1" applyFont="1">
      <alignment readingOrder="0"/>
    </xf>
    <xf borderId="1" fillId="0" fontId="42" numFmtId="0" xfId="0" applyAlignment="1" applyBorder="1" applyFont="1">
      <alignment horizontal="center" readingOrder="0" vertical="bottom"/>
    </xf>
    <xf borderId="7" fillId="0" fontId="4" numFmtId="0" xfId="0" applyAlignment="1" applyBorder="1" applyFont="1">
      <alignment readingOrder="0"/>
    </xf>
    <xf borderId="0" fillId="0" fontId="4" numFmtId="0" xfId="0" applyAlignment="1" applyFont="1">
      <alignment horizontal="center" readingOrder="0"/>
    </xf>
    <xf borderId="0" fillId="0" fontId="4" numFmtId="0" xfId="0" applyAlignment="1" applyFont="1">
      <alignment horizontal="center"/>
    </xf>
    <xf borderId="0" fillId="0" fontId="4" numFmtId="0" xfId="0" applyAlignment="1" applyFont="1">
      <alignment readingOrder="0"/>
    </xf>
    <xf borderId="3" fillId="17" fontId="3" numFmtId="0" xfId="0" applyBorder="1" applyFont="1"/>
    <xf borderId="2" fillId="17" fontId="3" numFmtId="0" xfId="0" applyBorder="1" applyFont="1"/>
    <xf borderId="4" fillId="3" fontId="43" numFmtId="0" xfId="0" applyAlignment="1" applyBorder="1" applyFont="1">
      <alignment horizontal="center"/>
    </xf>
    <xf borderId="0" fillId="3" fontId="19" numFmtId="170" xfId="0" applyAlignment="1" applyFont="1" applyNumberFormat="1">
      <alignment horizontal="center" vertical="center"/>
    </xf>
    <xf borderId="0" fillId="3" fontId="1" numFmtId="0" xfId="0" applyFont="1"/>
    <xf borderId="4" fillId="2" fontId="44" numFmtId="170" xfId="0" applyAlignment="1" applyBorder="1" applyFont="1" applyNumberFormat="1">
      <alignment horizontal="center" readingOrder="0" vertical="center"/>
    </xf>
    <xf borderId="4" fillId="17" fontId="45" numFmtId="0" xfId="0" applyAlignment="1" applyBorder="1" applyFont="1">
      <alignment horizontal="center" readingOrder="0" vertical="center"/>
    </xf>
    <xf borderId="4" fillId="17" fontId="45" numFmtId="167" xfId="0" applyAlignment="1" applyBorder="1" applyFont="1" applyNumberFormat="1">
      <alignment horizontal="center" vertical="center"/>
    </xf>
    <xf borderId="28" fillId="0" fontId="3" numFmtId="0" xfId="0" applyBorder="1" applyFont="1"/>
    <xf borderId="11" fillId="0" fontId="4" numFmtId="0" xfId="0" applyBorder="1" applyFont="1"/>
    <xf borderId="9" fillId="2" fontId="46" numFmtId="170" xfId="0" applyAlignment="1" applyBorder="1" applyFont="1" applyNumberFormat="1">
      <alignment horizontal="center" readingOrder="0" vertical="center"/>
    </xf>
    <xf borderId="11" fillId="3" fontId="4" numFmtId="0" xfId="0" applyBorder="1" applyFont="1"/>
    <xf borderId="10" fillId="0" fontId="4" numFmtId="0" xfId="0" applyBorder="1" applyFont="1"/>
    <xf borderId="1" fillId="9" fontId="28" numFmtId="0" xfId="0" applyBorder="1" applyFont="1"/>
    <xf borderId="1" fillId="9" fontId="28" numFmtId="0" xfId="0" applyAlignment="1" applyBorder="1" applyFont="1">
      <alignment readingOrder="0"/>
    </xf>
    <xf borderId="1" fillId="10" fontId="28" numFmtId="0" xfId="0" applyBorder="1" applyFont="1"/>
    <xf borderId="1" fillId="11" fontId="28" numFmtId="0" xfId="0" applyBorder="1" applyFont="1"/>
    <xf borderId="1" fillId="12" fontId="28" numFmtId="0" xfId="0" applyBorder="1" applyFont="1"/>
    <xf borderId="1" fillId="0" fontId="47" numFmtId="0" xfId="0" applyAlignment="1" applyBorder="1" applyFont="1">
      <alignment horizontal="center" readingOrder="0"/>
    </xf>
    <xf borderId="4" fillId="6" fontId="48" numFmtId="0" xfId="0" applyAlignment="1" applyBorder="1" applyFont="1">
      <alignment horizontal="center" readingOrder="0" vertical="center"/>
    </xf>
    <xf borderId="4" fillId="9" fontId="49" numFmtId="0" xfId="0" applyAlignment="1" applyBorder="1" applyFont="1">
      <alignment horizontal="center" vertical="center"/>
    </xf>
    <xf borderId="4" fillId="10" fontId="49" numFmtId="0" xfId="0" applyAlignment="1" applyBorder="1" applyFont="1">
      <alignment horizontal="center" vertical="center"/>
    </xf>
    <xf borderId="4" fillId="11" fontId="49" numFmtId="0" xfId="0" applyAlignment="1" applyBorder="1" applyFont="1">
      <alignment horizontal="center" vertical="center"/>
    </xf>
    <xf borderId="4" fillId="12" fontId="49" numFmtId="0" xfId="0" applyAlignment="1" applyBorder="1" applyFont="1">
      <alignment horizontal="center" vertical="center"/>
    </xf>
    <xf borderId="0" fillId="0" fontId="4" numFmtId="0" xfId="0" applyAlignment="1" applyFont="1">
      <alignment vertical="top"/>
    </xf>
    <xf borderId="1" fillId="6" fontId="50" numFmtId="0" xfId="0" applyAlignment="1" applyBorder="1" applyFont="1">
      <alignment horizontal="center" readingOrder="0" vertical="bottom"/>
    </xf>
    <xf borderId="5" fillId="3" fontId="28" numFmtId="0" xfId="0" applyAlignment="1" applyBorder="1" applyFont="1">
      <alignment vertical="top"/>
    </xf>
    <xf borderId="0" fillId="3" fontId="28" numFmtId="0" xfId="0" applyAlignment="1" applyFont="1">
      <alignment vertical="bottom"/>
    </xf>
    <xf borderId="0" fillId="3" fontId="28" numFmtId="0" xfId="0" applyAlignment="1" applyFont="1">
      <alignment vertical="top"/>
    </xf>
    <xf borderId="5" fillId="0" fontId="6" numFmtId="0" xfId="0" applyAlignment="1" applyBorder="1" applyFont="1">
      <alignment horizontal="center" readingOrder="0" vertical="center"/>
    </xf>
    <xf borderId="6" fillId="0" fontId="6" numFmtId="0" xfId="0" applyAlignment="1" applyBorder="1" applyFont="1">
      <alignment horizontal="center" readingOrder="0" vertical="center"/>
    </xf>
    <xf borderId="0" fillId="0" fontId="6" numFmtId="0" xfId="0" applyAlignment="1" applyFont="1">
      <alignment horizontal="center" readingOrder="0" vertical="center"/>
    </xf>
    <xf borderId="1" fillId="19" fontId="51" numFmtId="0" xfId="0" applyAlignment="1" applyBorder="1" applyFill="1" applyFont="1">
      <alignment horizontal="center" vertical="bottom"/>
    </xf>
    <xf borderId="1" fillId="20" fontId="52" numFmtId="0" xfId="0" applyAlignment="1" applyBorder="1" applyFill="1" applyFont="1">
      <alignment horizontal="center" vertical="bottom"/>
    </xf>
    <xf borderId="26" fillId="21" fontId="53" numFmtId="0" xfId="0" applyAlignment="1" applyBorder="1" applyFill="1" applyFont="1">
      <alignment horizontal="center" shrinkToFit="0" textRotation="90" vertical="bottom" wrapText="1"/>
    </xf>
    <xf borderId="29" fillId="0" fontId="54" numFmtId="0" xfId="0" applyAlignment="1" applyBorder="1" applyFont="1">
      <alignment horizontal="center" readingOrder="0" shrinkToFit="0" wrapText="1"/>
    </xf>
    <xf borderId="1" fillId="0" fontId="55" numFmtId="1" xfId="0" applyAlignment="1" applyBorder="1" applyFont="1" applyNumberFormat="1">
      <alignment horizontal="center" readingOrder="0" shrinkToFit="0" vertical="bottom" wrapText="1"/>
    </xf>
    <xf borderId="1" fillId="0" fontId="56" numFmtId="0" xfId="0" applyAlignment="1" applyBorder="1" applyFont="1">
      <alignment horizontal="left" readingOrder="0" shrinkToFit="0" vertical="bottom" wrapText="1"/>
    </xf>
    <xf borderId="26" fillId="4" fontId="53" numFmtId="0" xfId="0" applyAlignment="1" applyBorder="1" applyFont="1">
      <alignment horizontal="center" shrinkToFit="0" textRotation="90" vertical="bottom" wrapText="1"/>
    </xf>
    <xf borderId="29" fillId="0" fontId="54" numFmtId="0" xfId="0" applyAlignment="1" applyBorder="1" applyFont="1">
      <alignment horizontal="center" shrinkToFit="0" wrapText="1"/>
    </xf>
    <xf borderId="1" fillId="0" fontId="55" numFmtId="0" xfId="0" applyAlignment="1" applyBorder="1" applyFont="1">
      <alignment horizontal="center" readingOrder="0" shrinkToFit="0" vertical="bottom" wrapText="1"/>
    </xf>
    <xf borderId="1" fillId="0" fontId="57" numFmtId="0" xfId="0" applyAlignment="1" applyBorder="1" applyFont="1">
      <alignment horizontal="left" shrinkToFit="0" vertical="bottom" wrapText="1"/>
    </xf>
    <xf borderId="1" fillId="0" fontId="57" numFmtId="0" xfId="0" applyAlignment="1" applyBorder="1" applyFont="1">
      <alignment horizontal="left" readingOrder="0" shrinkToFit="0" vertical="bottom" wrapText="1"/>
    </xf>
    <xf borderId="1" fillId="0" fontId="56" numFmtId="0" xfId="0" applyAlignment="1" applyBorder="1" applyFont="1">
      <alignment horizontal="left" shrinkToFit="0" vertical="bottom" wrapText="1"/>
    </xf>
    <xf borderId="0" fillId="0" fontId="41" numFmtId="0" xfId="0" applyFont="1"/>
    <xf borderId="4" fillId="2" fontId="2" numFmtId="0" xfId="0" applyAlignment="1" applyBorder="1" applyFont="1">
      <alignment horizontal="center" readingOrder="0" vertical="bottom"/>
    </xf>
    <xf borderId="7" fillId="0" fontId="58" numFmtId="0" xfId="0" applyAlignment="1" applyBorder="1" applyFont="1">
      <alignment horizontal="center" vertical="bottom"/>
    </xf>
    <xf borderId="0" fillId="0" fontId="58" numFmtId="0" xfId="0" applyAlignment="1" applyFont="1">
      <alignment horizontal="center" vertical="bottom"/>
    </xf>
    <xf borderId="0" fillId="0" fontId="58" numFmtId="0" xfId="0" applyAlignment="1" applyFont="1">
      <alignment horizontal="center" readingOrder="0" vertical="bottom"/>
    </xf>
    <xf borderId="29" fillId="0" fontId="54" numFmtId="0" xfId="0" applyAlignment="1" applyBorder="1" applyFont="1">
      <alignment horizontal="center" shrinkToFit="0" wrapText="1"/>
    </xf>
    <xf borderId="26" fillId="22" fontId="59" numFmtId="0" xfId="0" applyAlignment="1" applyBorder="1" applyFill="1" applyFont="1">
      <alignment horizontal="center" shrinkToFit="0" textRotation="90" vertical="bottom" wrapText="1"/>
    </xf>
    <xf borderId="29" fillId="0" fontId="28" numFmtId="0" xfId="0" applyAlignment="1" applyBorder="1" applyFont="1">
      <alignment horizontal="center"/>
    </xf>
    <xf borderId="7" fillId="0" fontId="1" numFmtId="0" xfId="0" applyAlignment="1" applyBorder="1" applyFont="1">
      <alignment vertical="bottom"/>
    </xf>
    <xf borderId="5" fillId="0" fontId="60" numFmtId="1" xfId="0" applyAlignment="1" applyBorder="1" applyFont="1" applyNumberFormat="1">
      <alignment horizontal="center" vertical="center"/>
    </xf>
    <xf borderId="0" fillId="0" fontId="60" numFmtId="0" xfId="0" applyAlignment="1" applyFont="1">
      <alignment vertical="center"/>
    </xf>
    <xf borderId="5" fillId="0" fontId="60" numFmtId="1" xfId="0" applyAlignment="1" applyBorder="1" applyFont="1" applyNumberFormat="1">
      <alignment horizontal="center" readingOrder="0" vertical="center"/>
    </xf>
    <xf borderId="1" fillId="0" fontId="61" numFmtId="0" xfId="0" applyAlignment="1" applyBorder="1" applyFont="1">
      <alignment horizontal="center" readingOrder="0" vertical="bottom"/>
    </xf>
    <xf borderId="4" fillId="2" fontId="2" numFmtId="0" xfId="0" applyAlignment="1" applyBorder="1" applyFont="1">
      <alignment horizontal="center" vertical="top"/>
    </xf>
    <xf borderId="26" fillId="23" fontId="59" numFmtId="0" xfId="0" applyAlignment="1" applyBorder="1" applyFill="1" applyFont="1">
      <alignment horizontal="center" shrinkToFit="0" textRotation="90" vertical="bottom" wrapText="1"/>
    </xf>
    <xf borderId="29" fillId="0" fontId="28" numFmtId="0" xfId="0" applyAlignment="1" applyBorder="1" applyFont="1">
      <alignment horizontal="center"/>
    </xf>
    <xf borderId="9" fillId="0" fontId="1" numFmtId="0" xfId="0" applyAlignment="1" applyBorder="1" applyFont="1">
      <alignment vertical="bottom"/>
    </xf>
    <xf borderId="26" fillId="2" fontId="62" numFmtId="0" xfId="0" applyAlignment="1" applyBorder="1" applyFont="1">
      <alignment readingOrder="0" textRotation="90" vertical="bottom"/>
    </xf>
    <xf borderId="29" fillId="3" fontId="28" numFmtId="0" xfId="0" applyAlignment="1" applyBorder="1" applyFont="1">
      <alignment horizontal="center"/>
    </xf>
    <xf borderId="1" fillId="3" fontId="61" numFmtId="0" xfId="0" applyAlignment="1" applyBorder="1" applyFont="1">
      <alignment horizontal="center" readingOrder="0" vertical="bottom"/>
    </xf>
    <xf borderId="1" fillId="3" fontId="56" numFmtId="0" xfId="0" applyAlignment="1" applyBorder="1" applyFont="1">
      <alignment horizontal="left" readingOrder="0" shrinkToFit="0" vertical="bottom" wrapText="1"/>
    </xf>
    <xf borderId="29" fillId="0" fontId="4" numFmtId="0" xfId="0" applyBorder="1" applyFont="1"/>
    <xf borderId="9" fillId="6" fontId="1" numFmtId="0" xfId="0" applyAlignment="1" applyBorder="1" applyFont="1">
      <alignment readingOrder="0"/>
    </xf>
    <xf borderId="29" fillId="3" fontId="28" numFmtId="0" xfId="0" applyAlignment="1" applyBorder="1" applyFont="1">
      <alignment horizontal="center" readingOrder="0"/>
    </xf>
    <xf borderId="30" fillId="0" fontId="3" numFmtId="0" xfId="0" applyBorder="1" applyFont="1"/>
    <xf borderId="31" fillId="0" fontId="3" numFmtId="0" xfId="0" applyBorder="1" applyFont="1"/>
    <xf borderId="4" fillId="6" fontId="4" numFmtId="0" xfId="0" applyAlignment="1" applyBorder="1" applyFont="1">
      <alignment readingOrder="0" shrinkToFit="0" vertical="top" wrapText="1"/>
    </xf>
    <xf borderId="4" fillId="0" fontId="37" numFmtId="0" xfId="0" applyAlignment="1" applyBorder="1" applyFont="1">
      <alignment horizontal="center" vertical="bottom"/>
    </xf>
    <xf borderId="5" fillId="0" fontId="37" numFmtId="0" xfId="0" applyAlignment="1" applyBorder="1" applyFont="1">
      <alignment horizontal="center" readingOrder="0" vertical="bottom"/>
    </xf>
    <xf borderId="6" fillId="0" fontId="37" numFmtId="0" xfId="0" applyAlignment="1" applyBorder="1" applyFont="1">
      <alignment horizontal="center" vertical="bottom"/>
    </xf>
    <xf borderId="1" fillId="3" fontId="56" numFmtId="0" xfId="0" applyAlignment="1" applyBorder="1" applyFont="1">
      <alignment readingOrder="0" vertical="bottom"/>
    </xf>
    <xf borderId="9" fillId="0" fontId="1" numFmtId="0" xfId="0" applyBorder="1" applyFont="1"/>
    <xf borderId="7" fillId="0" fontId="37" numFmtId="0" xfId="0" applyAlignment="1" applyBorder="1" applyFont="1">
      <alignment horizontal="center" vertical="bottom"/>
    </xf>
    <xf borderId="32" fillId="24" fontId="63" numFmtId="0" xfId="0" applyAlignment="1" applyBorder="1" applyFill="1" applyFont="1">
      <alignment readingOrder="0" vertical="bottom"/>
    </xf>
    <xf borderId="32" fillId="0" fontId="3" numFmtId="0" xfId="0" applyBorder="1" applyFont="1"/>
    <xf borderId="32" fillId="24" fontId="64" numFmtId="171" xfId="0" applyAlignment="1" applyBorder="1" applyFont="1" applyNumberFormat="1">
      <alignment horizontal="center" readingOrder="0" vertical="center"/>
    </xf>
    <xf borderId="32" fillId="24" fontId="64" numFmtId="171" xfId="0" applyAlignment="1" applyBorder="1" applyFont="1" applyNumberFormat="1">
      <alignment horizontal="center" vertical="bottom"/>
    </xf>
    <xf borderId="32" fillId="24" fontId="64" numFmtId="0" xfId="0" applyAlignment="1" applyBorder="1" applyFont="1">
      <alignment horizontal="center" shrinkToFit="0" vertical="bottom" wrapText="1"/>
    </xf>
    <xf borderId="8" fillId="0" fontId="37" numFmtId="0" xfId="0" applyAlignment="1" applyBorder="1" applyFont="1">
      <alignment horizontal="center" vertical="bottom"/>
    </xf>
    <xf borderId="32" fillId="25" fontId="63" numFmtId="0" xfId="0" applyAlignment="1" applyBorder="1" applyFill="1" applyFont="1">
      <alignment readingOrder="0" vertical="bottom"/>
    </xf>
    <xf borderId="32" fillId="25" fontId="64" numFmtId="171" xfId="0" applyAlignment="1" applyBorder="1" applyFont="1" applyNumberFormat="1">
      <alignment horizontal="center" vertical="center"/>
    </xf>
    <xf borderId="32" fillId="25" fontId="64" numFmtId="171" xfId="0" applyAlignment="1" applyBorder="1" applyFont="1" applyNumberFormat="1">
      <alignment horizontal="center" vertical="bottom"/>
    </xf>
    <xf borderId="32" fillId="25" fontId="64" numFmtId="0" xfId="0" applyAlignment="1" applyBorder="1" applyFont="1">
      <alignment horizontal="center" shrinkToFit="0" vertical="bottom" wrapText="1"/>
    </xf>
    <xf borderId="4" fillId="6" fontId="36" numFmtId="0" xfId="0" applyAlignment="1" applyBorder="1" applyFont="1">
      <alignment horizontal="center" shrinkToFit="0" vertical="center" wrapText="1"/>
    </xf>
    <xf borderId="16" fillId="0" fontId="1" numFmtId="0" xfId="0" applyAlignment="1" applyBorder="1" applyFont="1">
      <alignment readingOrder="0" vertical="bottom"/>
    </xf>
    <xf borderId="16" fillId="0" fontId="3" numFmtId="0" xfId="0" applyBorder="1" applyFont="1"/>
    <xf borderId="33" fillId="0" fontId="3" numFmtId="0" xfId="0" applyBorder="1" applyFont="1"/>
    <xf borderId="32" fillId="24" fontId="64" numFmtId="171" xfId="0" applyAlignment="1" applyBorder="1" applyFont="1" applyNumberFormat="1">
      <alignment horizontal="center" vertical="center"/>
    </xf>
    <xf borderId="0" fillId="3" fontId="28" numFmtId="0" xfId="0" applyAlignment="1" applyFont="1">
      <alignment vertical="bottom"/>
    </xf>
    <xf borderId="34" fillId="0" fontId="1" numFmtId="0" xfId="0" applyAlignment="1" applyBorder="1" applyFont="1">
      <alignment vertical="bottom"/>
    </xf>
    <xf borderId="34" fillId="0" fontId="3" numFmtId="0" xfId="0" applyBorder="1" applyFont="1"/>
    <xf borderId="35" fillId="0" fontId="3" numFmtId="0" xfId="0" applyBorder="1" applyFont="1"/>
    <xf borderId="29" fillId="0" fontId="28" numFmtId="0" xfId="0" applyAlignment="1" applyBorder="1" applyFont="1">
      <alignment horizontal="center" readingOrder="0"/>
    </xf>
    <xf borderId="0" fillId="3" fontId="28" numFmtId="0" xfId="0" applyAlignment="1" applyFont="1">
      <alignment readingOrder="0" vertical="bottom"/>
    </xf>
    <xf borderId="9" fillId="0" fontId="36" numFmtId="0" xfId="0" applyAlignment="1" applyBorder="1" applyFont="1">
      <alignment horizontal="center" vertical="bottom"/>
    </xf>
    <xf borderId="4" fillId="6" fontId="36" numFmtId="0" xfId="0" applyAlignment="1" applyBorder="1" applyFont="1">
      <alignment horizontal="center" readingOrder="0" shrinkToFit="0" vertical="center" wrapText="1"/>
    </xf>
    <xf borderId="16" fillId="0" fontId="1" numFmtId="0" xfId="0" applyAlignment="1" applyBorder="1" applyFont="1">
      <alignment vertical="bottom"/>
    </xf>
    <xf borderId="1" fillId="0" fontId="65" numFmtId="0" xfId="0" applyAlignment="1" applyBorder="1" applyFont="1">
      <alignment vertical="bottom"/>
    </xf>
    <xf borderId="1" fillId="0" fontId="1" numFmtId="0" xfId="0" applyAlignment="1" applyBorder="1" applyFont="1">
      <alignment horizontal="center" readingOrder="0" vertical="bottom"/>
    </xf>
    <xf borderId="36" fillId="0" fontId="1" numFmtId="0" xfId="0" applyAlignment="1" applyBorder="1" applyFont="1">
      <alignment vertical="bottom"/>
    </xf>
    <xf borderId="1" fillId="0" fontId="21" numFmtId="0" xfId="0" applyAlignment="1" applyBorder="1" applyFont="1">
      <alignment horizontal="center" readingOrder="0"/>
    </xf>
    <xf borderId="0" fillId="3" fontId="37" numFmtId="0" xfId="0" applyAlignment="1" applyFont="1">
      <alignment horizontal="center" readingOrder="0" vertical="bottom"/>
    </xf>
    <xf borderId="0" fillId="3" fontId="64" numFmtId="171" xfId="0" applyAlignment="1" applyFont="1" applyNumberFormat="1">
      <alignment horizontal="center" vertical="center"/>
    </xf>
    <xf borderId="0" fillId="3" fontId="64" numFmtId="171" xfId="0" applyAlignment="1" applyFont="1" applyNumberFormat="1">
      <alignment horizontal="center" vertical="bottom"/>
    </xf>
    <xf borderId="0" fillId="3" fontId="4" numFmtId="0" xfId="0" applyAlignment="1" applyFont="1">
      <alignment readingOrder="0"/>
    </xf>
    <xf borderId="10" fillId="3" fontId="1" numFmtId="0" xfId="0" applyAlignment="1" applyBorder="1" applyFont="1">
      <alignment vertical="bottom"/>
    </xf>
    <xf borderId="0" fillId="3" fontId="1" numFmtId="0" xfId="0" applyAlignment="1" applyFont="1">
      <alignment horizontal="center" vertical="bottom"/>
    </xf>
    <xf borderId="0" fillId="3" fontId="4" numFmtId="0" xfId="0" applyAlignment="1" applyFont="1">
      <alignment horizontal="center"/>
    </xf>
    <xf borderId="4" fillId="0" fontId="1" numFmtId="0" xfId="0" applyAlignment="1" applyBorder="1" applyFont="1">
      <alignment vertical="bottom"/>
    </xf>
    <xf borderId="1" fillId="0" fontId="66" numFmtId="0" xfId="0" applyAlignment="1" applyBorder="1" applyFont="1">
      <alignment horizontal="center" vertical="bottom"/>
    </xf>
    <xf borderId="5" fillId="0" fontId="1" numFmtId="0" xfId="0" applyAlignment="1" applyBorder="1" applyFont="1">
      <alignment vertical="bottom"/>
    </xf>
    <xf borderId="1" fillId="0" fontId="67" numFmtId="0" xfId="0" applyAlignment="1" applyBorder="1" applyFont="1">
      <alignment horizontal="right" vertical="bottom"/>
    </xf>
    <xf borderId="1" fillId="0" fontId="1" numFmtId="0" xfId="0" applyBorder="1" applyFont="1"/>
    <xf borderId="1" fillId="0" fontId="1" numFmtId="0" xfId="0" applyAlignment="1" applyBorder="1" applyFont="1">
      <alignment horizontal="right" vertical="bottom"/>
    </xf>
    <xf borderId="1" fillId="0" fontId="1" numFmtId="172" xfId="0" applyAlignment="1" applyBorder="1" applyFont="1" applyNumberFormat="1">
      <alignment vertical="bottom"/>
    </xf>
    <xf borderId="1" fillId="0" fontId="17" numFmtId="0" xfId="0" applyAlignment="1" applyBorder="1" applyFont="1">
      <alignment horizontal="right" vertical="bottom"/>
    </xf>
    <xf borderId="5" fillId="0" fontId="37" numFmtId="0" xfId="0" applyAlignment="1" applyBorder="1" applyFont="1">
      <alignment horizontal="center" vertical="bottom"/>
    </xf>
    <xf borderId="6" fillId="0" fontId="1" numFmtId="0" xfId="0" applyAlignment="1" applyBorder="1" applyFont="1">
      <alignment vertical="bottom"/>
    </xf>
    <xf borderId="37" fillId="0" fontId="1" numFmtId="0" xfId="0" applyAlignment="1" applyBorder="1" applyFont="1">
      <alignment vertical="bottom"/>
    </xf>
    <xf borderId="37" fillId="0" fontId="3" numFmtId="0" xfId="0" applyBorder="1" applyFont="1"/>
    <xf borderId="0" fillId="0" fontId="1" numFmtId="173" xfId="0" applyFont="1" applyNumberFormat="1"/>
    <xf borderId="0" fillId="0" fontId="36" numFmtId="0" xfId="0" applyAlignment="1" applyFont="1">
      <alignment horizontal="center" vertical="bottom"/>
    </xf>
    <xf borderId="0" fillId="0" fontId="1" numFmtId="49" xfId="0" applyAlignment="1" applyFont="1" applyNumberFormat="1">
      <alignment vertical="bottom"/>
    </xf>
    <xf borderId="38" fillId="0" fontId="1" numFmtId="0" xfId="0" applyAlignment="1" applyBorder="1" applyFont="1">
      <alignment vertical="bottom"/>
    </xf>
    <xf borderId="38" fillId="0" fontId="3" numFmtId="0" xfId="0" applyBorder="1" applyFont="1"/>
    <xf borderId="0" fillId="0" fontId="68" numFmtId="0" xfId="0" applyAlignment="1" applyFont="1">
      <alignment horizontal="center" vertical="top"/>
    </xf>
    <xf borderId="0" fillId="0" fontId="1" numFmtId="0" xfId="0" applyAlignment="1" applyFont="1">
      <alignment vertical="top"/>
    </xf>
    <xf borderId="4" fillId="2" fontId="69" numFmtId="0" xfId="0" applyAlignment="1" applyBorder="1" applyFont="1">
      <alignment horizontal="center" vertical="top"/>
    </xf>
    <xf borderId="5" fillId="0" fontId="1" numFmtId="0" xfId="0" applyBorder="1" applyFont="1"/>
    <xf borderId="3" fillId="2" fontId="69" numFmtId="0" xfId="0" applyAlignment="1" applyBorder="1" applyFont="1">
      <alignment horizontal="center" vertical="top"/>
    </xf>
    <xf borderId="5" fillId="2" fontId="70" numFmtId="0" xfId="0" applyAlignment="1" applyBorder="1" applyFont="1">
      <alignment horizontal="center" readingOrder="0"/>
    </xf>
    <xf borderId="3" fillId="0" fontId="1" numFmtId="0" xfId="0" applyAlignment="1" applyBorder="1" applyFont="1">
      <alignment vertical="bottom"/>
    </xf>
    <xf borderId="11" fillId="0" fontId="1" numFmtId="0" xfId="0" applyBorder="1" applyFont="1"/>
    <xf borderId="0" fillId="3" fontId="66" numFmtId="0" xfId="0" applyFont="1"/>
    <xf borderId="0" fillId="3" fontId="66" numFmtId="0" xfId="0" applyAlignment="1" applyFont="1">
      <alignment vertical="bottom"/>
    </xf>
    <xf borderId="4" fillId="3" fontId="71" numFmtId="0" xfId="0" applyAlignment="1" applyBorder="1" applyFont="1">
      <alignment horizontal="center" readingOrder="0" vertical="center"/>
    </xf>
    <xf borderId="4" fillId="2" fontId="72" numFmtId="0" xfId="0" applyAlignment="1" applyBorder="1" applyFont="1">
      <alignment horizontal="left" readingOrder="0" vertical="center"/>
    </xf>
    <xf borderId="4" fillId="2" fontId="72" numFmtId="0" xfId="0" applyAlignment="1" applyBorder="1" applyFont="1">
      <alignment horizontal="center" vertical="bottom"/>
    </xf>
    <xf borderId="4" fillId="2" fontId="73" numFmtId="0" xfId="0" applyAlignment="1" applyBorder="1" applyFont="1">
      <alignment horizontal="center"/>
    </xf>
    <xf borderId="1" fillId="8" fontId="74" numFmtId="0" xfId="0" applyAlignment="1" applyBorder="1" applyFont="1">
      <alignment horizontal="center" readingOrder="0" vertical="center"/>
    </xf>
    <xf borderId="1" fillId="3" fontId="74" numFmtId="0" xfId="0" applyAlignment="1" applyBorder="1" applyFont="1">
      <alignment horizontal="center" readingOrder="0" vertical="center"/>
    </xf>
    <xf borderId="1" fillId="6" fontId="66" numFmtId="0" xfId="0" applyAlignment="1" applyBorder="1" applyFont="1">
      <alignment horizontal="center" vertical="bottom"/>
    </xf>
    <xf borderId="1" fillId="6" fontId="34" numFmtId="0" xfId="0" applyAlignment="1" applyBorder="1" applyFont="1">
      <alignment horizontal="center" vertical="bottom"/>
    </xf>
    <xf borderId="1" fillId="6" fontId="34" numFmtId="0" xfId="0" applyAlignment="1" applyBorder="1" applyFont="1">
      <alignment horizontal="left" readingOrder="0" vertical="bottom"/>
    </xf>
    <xf borderId="1" fillId="6" fontId="34" numFmtId="0" xfId="0" applyAlignment="1" applyBorder="1" applyFont="1">
      <alignment horizontal="center" readingOrder="0" vertical="bottom"/>
    </xf>
    <xf borderId="4" fillId="3" fontId="75" numFmtId="0" xfId="0" applyAlignment="1" applyBorder="1" applyFont="1">
      <alignment horizontal="center" vertical="center"/>
    </xf>
    <xf borderId="1" fillId="6" fontId="66" numFmtId="0" xfId="0" applyAlignment="1" applyBorder="1" applyFont="1">
      <alignment horizontal="center" vertical="bottom"/>
    </xf>
    <xf borderId="29" fillId="3" fontId="66" numFmtId="0" xfId="0" applyAlignment="1" applyBorder="1" applyFont="1">
      <alignment horizontal="center" vertical="bottom"/>
    </xf>
    <xf borderId="4" fillId="3" fontId="66" numFmtId="0" xfId="0" applyAlignment="1" applyBorder="1" applyFont="1">
      <alignment horizontal="center" vertical="center"/>
    </xf>
    <xf borderId="1" fillId="3" fontId="74" numFmtId="174" xfId="0" applyAlignment="1" applyBorder="1" applyFont="1" applyNumberFormat="1">
      <alignment horizontal="center" readingOrder="0" vertical="center"/>
    </xf>
    <xf borderId="1" fillId="3" fontId="74" numFmtId="0" xfId="0" applyAlignment="1" applyBorder="1" applyFont="1">
      <alignment horizontal="left" readingOrder="0"/>
    </xf>
    <xf borderId="1" fillId="3" fontId="74" numFmtId="0" xfId="0" applyAlignment="1" applyBorder="1" applyFont="1">
      <alignment horizontal="center" readingOrder="0"/>
    </xf>
    <xf borderId="1" fillId="3" fontId="74" numFmtId="0" xfId="0" applyAlignment="1" applyBorder="1" applyFont="1">
      <alignment horizontal="left" readingOrder="0" shrinkToFit="0" wrapText="1"/>
    </xf>
    <xf borderId="7" fillId="18" fontId="3" numFmtId="0" xfId="0" applyBorder="1" applyFont="1"/>
    <xf borderId="8" fillId="18" fontId="3" numFmtId="0" xfId="0" applyBorder="1" applyFont="1"/>
    <xf borderId="3" fillId="18" fontId="3" numFmtId="0" xfId="0" applyBorder="1" applyFont="1"/>
    <xf borderId="2" fillId="18" fontId="3" numFmtId="0" xfId="0" applyBorder="1" applyFont="1"/>
    <xf borderId="29" fillId="3" fontId="66" numFmtId="175" xfId="0" applyAlignment="1" applyBorder="1" applyFont="1" applyNumberFormat="1">
      <alignment horizontal="center" readingOrder="0" vertical="bottom"/>
    </xf>
    <xf borderId="1" fillId="3" fontId="74" numFmtId="176" xfId="0" applyAlignment="1" applyBorder="1" applyFont="1" applyNumberFormat="1">
      <alignment horizontal="center" readingOrder="0" vertical="center"/>
    </xf>
    <xf borderId="7" fillId="17" fontId="3" numFmtId="0" xfId="0" applyBorder="1" applyFont="1"/>
    <xf borderId="8" fillId="17" fontId="3" numFmtId="0" xfId="0" applyBorder="1" applyFont="1"/>
    <xf borderId="2" fillId="6" fontId="66" numFmtId="0" xfId="0" applyAlignment="1" applyBorder="1" applyFont="1">
      <alignment horizontal="center" readingOrder="0" vertical="bottom"/>
    </xf>
    <xf borderId="29" fillId="3" fontId="66" numFmtId="0" xfId="0" applyAlignment="1" applyBorder="1" applyFont="1">
      <alignment horizontal="center" readingOrder="0" vertical="bottom"/>
    </xf>
    <xf borderId="11" fillId="17" fontId="1" numFmtId="0" xfId="0" applyAlignment="1" applyBorder="1" applyFont="1">
      <alignment readingOrder="0"/>
    </xf>
    <xf borderId="29" fillId="3" fontId="66" numFmtId="167" xfId="0" applyAlignment="1" applyBorder="1" applyFont="1" applyNumberFormat="1">
      <alignment horizontal="center" readingOrder="0" vertical="bottom"/>
    </xf>
    <xf borderId="1" fillId="3" fontId="66" numFmtId="0" xfId="0" applyAlignment="1" applyBorder="1" applyFont="1">
      <alignment horizontal="center" vertical="bottom"/>
    </xf>
    <xf borderId="29" fillId="3" fontId="66" numFmtId="0" xfId="0" applyAlignment="1" applyBorder="1" applyFont="1">
      <alignment horizontal="center" vertical="bottom"/>
    </xf>
    <xf borderId="4" fillId="2" fontId="73" numFmtId="0" xfId="0" applyAlignment="1" applyBorder="1" applyFont="1">
      <alignment horizontal="center" readingOrder="0" vertical="center"/>
    </xf>
    <xf borderId="0" fillId="3" fontId="26" numFmtId="0" xfId="0" applyAlignment="1" applyFont="1">
      <alignment horizontal="center" readingOrder="0" vertical="center"/>
    </xf>
    <xf borderId="1" fillId="6" fontId="66" numFmtId="0" xfId="0" applyAlignment="1" applyBorder="1" applyFont="1">
      <alignment horizontal="center" readingOrder="0"/>
    </xf>
    <xf borderId="0" fillId="3" fontId="66" numFmtId="0" xfId="0" applyAlignment="1" applyFont="1">
      <alignment horizontal="center" readingOrder="0"/>
    </xf>
    <xf borderId="4" fillId="3" fontId="26" numFmtId="0" xfId="0" applyAlignment="1" applyBorder="1" applyFont="1">
      <alignment horizontal="center" readingOrder="0" vertical="center"/>
    </xf>
    <xf borderId="1" fillId="2" fontId="10" numFmtId="0" xfId="0" applyAlignment="1" applyBorder="1" applyFont="1">
      <alignment horizontal="center" readingOrder="0"/>
    </xf>
    <xf borderId="1" fillId="3" fontId="66" numFmtId="0" xfId="0" applyAlignment="1" applyBorder="1" applyFont="1">
      <alignment horizontal="center" readingOrder="0"/>
    </xf>
    <xf borderId="0" fillId="3" fontId="74" numFmtId="0" xfId="0" applyAlignment="1" applyFont="1">
      <alignment horizontal="left" readingOrder="0"/>
    </xf>
    <xf borderId="0" fillId="3" fontId="74" numFmtId="0" xfId="0" applyAlignment="1" applyFont="1">
      <alignment horizontal="center" readingOrder="0"/>
    </xf>
    <xf borderId="0" fillId="3" fontId="74" numFmtId="0" xfId="0" applyAlignment="1" applyFont="1">
      <alignment horizontal="left" readingOrder="0" shrinkToFit="0" wrapText="1"/>
    </xf>
    <xf borderId="1" fillId="2" fontId="14" numFmtId="0" xfId="0" applyAlignment="1" applyBorder="1" applyFont="1">
      <alignment horizontal="center" readingOrder="0" shrinkToFit="0" vertical="center" wrapText="1"/>
    </xf>
    <xf borderId="1" fillId="3" fontId="76" numFmtId="0" xfId="0" applyAlignment="1" applyBorder="1" applyFont="1">
      <alignment horizontal="center" readingOrder="0" vertical="center"/>
    </xf>
    <xf borderId="0" fillId="3" fontId="76" numFmtId="0" xfId="0" applyAlignment="1" applyFont="1">
      <alignment horizontal="center" readingOrder="0" vertical="center"/>
    </xf>
    <xf borderId="1" fillId="2" fontId="2" numFmtId="0" xfId="0" applyAlignment="1" applyBorder="1" applyFont="1">
      <alignment horizontal="center" readingOrder="0"/>
    </xf>
    <xf borderId="4" fillId="3" fontId="66" numFmtId="0" xfId="0" applyAlignment="1" applyBorder="1" applyFont="1">
      <alignment readingOrder="0" shrinkToFit="0" vertical="top" wrapText="1"/>
    </xf>
    <xf borderId="1" fillId="6" fontId="66" numFmtId="0" xfId="0" applyAlignment="1" applyBorder="1" applyFont="1">
      <alignment horizontal="center" readingOrder="0" vertical="bottom"/>
    </xf>
    <xf borderId="1" fillId="24" fontId="63" numFmtId="0" xfId="0" applyAlignment="1" applyBorder="1" applyFont="1">
      <alignment readingOrder="0" vertical="bottom"/>
    </xf>
    <xf borderId="1" fillId="3" fontId="66" numFmtId="177" xfId="0" applyAlignment="1" applyBorder="1" applyFont="1" applyNumberFormat="1">
      <alignment horizontal="center" readingOrder="0" vertical="center"/>
    </xf>
    <xf borderId="1" fillId="3" fontId="66" numFmtId="0" xfId="0" applyAlignment="1" applyBorder="1" applyFont="1">
      <alignment horizontal="center" readingOrder="0" vertical="center"/>
    </xf>
    <xf borderId="1" fillId="3" fontId="66" numFmtId="0" xfId="0" applyAlignment="1" applyBorder="1" applyFont="1">
      <alignment horizontal="center" readingOrder="0" shrinkToFit="0" vertical="center" wrapText="1"/>
    </xf>
    <xf borderId="3" fillId="7" fontId="3" numFmtId="0" xfId="0" applyBorder="1" applyFont="1"/>
    <xf borderId="2" fillId="7" fontId="3" numFmtId="0" xfId="0" applyBorder="1" applyFont="1"/>
    <xf borderId="0" fillId="3" fontId="66" numFmtId="0" xfId="0" applyAlignment="1" applyFont="1">
      <alignment horizontal="center" readingOrder="0" vertical="center"/>
    </xf>
    <xf borderId="0" fillId="3" fontId="73" numFmtId="0" xfId="0" applyAlignment="1" applyFont="1">
      <alignment horizontal="center" readingOrder="0" vertical="center"/>
    </xf>
    <xf borderId="7" fillId="2" fontId="73" numFmtId="0" xfId="0" applyAlignment="1" applyBorder="1" applyFont="1">
      <alignment horizontal="center" readingOrder="0" vertical="center"/>
    </xf>
    <xf borderId="1" fillId="3" fontId="76" numFmtId="175" xfId="0" applyAlignment="1" applyBorder="1" applyFont="1" applyNumberFormat="1">
      <alignment horizontal="center" readingOrder="0" vertical="center"/>
    </xf>
    <xf borderId="4" fillId="3" fontId="66" numFmtId="0" xfId="0" applyAlignment="1" applyBorder="1" applyFont="1">
      <alignment horizontal="left" readingOrder="0" shrinkToFit="0" vertical="top" wrapText="1"/>
    </xf>
    <xf borderId="1" fillId="6" fontId="34" numFmtId="0" xfId="0" applyAlignment="1" applyBorder="1" applyFont="1">
      <alignment horizontal="center" readingOrder="0"/>
    </xf>
    <xf borderId="1" fillId="6" fontId="34" numFmtId="0" xfId="0" applyAlignment="1" applyBorder="1" applyFont="1">
      <alignment horizontal="center" readingOrder="0" shrinkToFit="0" wrapText="1"/>
    </xf>
    <xf borderId="1" fillId="3" fontId="66" numFmtId="0" xfId="0" applyAlignment="1" applyBorder="1" applyFont="1">
      <alignment horizontal="left" readingOrder="0"/>
    </xf>
    <xf borderId="1" fillId="3" fontId="66" numFmtId="0" xfId="0" applyAlignment="1" applyBorder="1" applyFont="1">
      <alignment horizontal="center"/>
    </xf>
    <xf borderId="26" fillId="0" fontId="1" numFmtId="0" xfId="0" applyBorder="1" applyFont="1"/>
    <xf borderId="29" fillId="0" fontId="13" numFmtId="166" xfId="0" applyAlignment="1" applyBorder="1" applyFont="1" applyNumberFormat="1">
      <alignment horizontal="center"/>
    </xf>
    <xf quotePrefix="1" borderId="1" fillId="6" fontId="77" numFmtId="0" xfId="0" applyBorder="1" applyFont="1"/>
    <xf borderId="29" fillId="0" fontId="67" numFmtId="0" xfId="0" applyAlignment="1" applyBorder="1" applyFont="1">
      <alignment horizontal="center" readingOrder="0" shrinkToFit="0" wrapText="1"/>
    </xf>
    <xf borderId="1" fillId="6" fontId="78" numFmtId="0" xfId="0" applyBorder="1" applyFont="1"/>
    <xf borderId="5" fillId="26" fontId="79" numFmtId="0" xfId="0" applyAlignment="1" applyBorder="1" applyFill="1" applyFont="1">
      <alignment horizontal="center" vertical="bottom"/>
    </xf>
    <xf borderId="39" fillId="0" fontId="3" numFmtId="0" xfId="0" applyBorder="1" applyFont="1"/>
    <xf borderId="40" fillId="0" fontId="28" numFmtId="0" xfId="0" applyBorder="1" applyFont="1"/>
    <xf quotePrefix="1" borderId="40" fillId="0" fontId="80" numFmtId="178" xfId="0" applyAlignment="1" applyBorder="1" applyFont="1" applyNumberFormat="1">
      <alignment readingOrder="0"/>
    </xf>
    <xf borderId="40" fillId="0" fontId="3" numFmtId="0" xfId="0" applyBorder="1" applyFont="1"/>
    <xf borderId="0" fillId="0" fontId="28" numFmtId="0" xfId="0" applyAlignment="1" applyFont="1">
      <alignment vertical="bottom"/>
    </xf>
    <xf quotePrefix="1" borderId="41" fillId="0" fontId="80" numFmtId="0" xfId="0" applyBorder="1" applyFont="1"/>
    <xf borderId="41" fillId="0" fontId="3" numFmtId="0" xfId="0" applyBorder="1" applyFont="1"/>
    <xf borderId="42" fillId="0" fontId="28" numFmtId="0" xfId="0" applyAlignment="1" applyBorder="1" applyFont="1">
      <alignment vertical="bottom"/>
    </xf>
    <xf borderId="29" fillId="0" fontId="81" numFmtId="166" xfId="0" applyAlignment="1" applyBorder="1" applyFont="1" applyNumberFormat="1">
      <alignment horizontal="center" readingOrder="0"/>
    </xf>
    <xf borderId="29" fillId="0" fontId="67" numFmtId="0" xfId="0" applyAlignment="1" applyBorder="1" applyFont="1">
      <alignment horizontal="center" readingOrder="0"/>
    </xf>
    <xf borderId="5" fillId="0" fontId="82" numFmtId="179" xfId="0" applyAlignment="1" applyBorder="1" applyFont="1" applyNumberFormat="1">
      <alignment horizontal="center" vertical="top"/>
    </xf>
    <xf borderId="43" fillId="0" fontId="3" numFmtId="0" xfId="0" applyBorder="1" applyFont="1"/>
    <xf borderId="0" fillId="0" fontId="28" numFmtId="0" xfId="0" applyFont="1"/>
    <xf quotePrefix="1" borderId="41" fillId="0" fontId="80" numFmtId="0" xfId="0" applyAlignment="1" applyBorder="1" applyFont="1">
      <alignment readingOrder="0"/>
    </xf>
    <xf borderId="44" fillId="0" fontId="28" numFmtId="0" xfId="0" applyAlignment="1" applyBorder="1" applyFont="1">
      <alignment vertical="bottom"/>
    </xf>
    <xf borderId="29" fillId="0" fontId="83" numFmtId="166" xfId="0" applyAlignment="1" applyBorder="1" applyFont="1" applyNumberFormat="1">
      <alignment horizontal="center"/>
    </xf>
    <xf borderId="29" fillId="0" fontId="67" numFmtId="0" xfId="0" applyAlignment="1" applyBorder="1" applyFont="1">
      <alignment horizontal="center" shrinkToFit="0" wrapText="1"/>
    </xf>
    <xf borderId="29" fillId="0" fontId="84" numFmtId="166" xfId="0" applyAlignment="1" applyBorder="1" applyFont="1" applyNumberFormat="1">
      <alignment horizontal="center"/>
    </xf>
    <xf borderId="0" fillId="0" fontId="78" numFmtId="0" xfId="0" applyFont="1"/>
    <xf borderId="0" fillId="26" fontId="79" numFmtId="0" xfId="0" applyAlignment="1" applyFont="1">
      <alignment horizontal="center" vertical="top"/>
    </xf>
    <xf borderId="0" fillId="0" fontId="28" numFmtId="0" xfId="0" applyAlignment="1" applyFont="1">
      <alignment vertical="bottom"/>
    </xf>
    <xf borderId="44" fillId="0" fontId="28" numFmtId="0" xfId="0" applyAlignment="1" applyBorder="1" applyFont="1">
      <alignment vertical="bottom"/>
    </xf>
    <xf borderId="29" fillId="0" fontId="85" numFmtId="166" xfId="0" applyAlignment="1" applyBorder="1" applyFont="1" applyNumberFormat="1">
      <alignment horizontal="center"/>
    </xf>
    <xf borderId="3" fillId="0" fontId="86" numFmtId="0" xfId="0" applyAlignment="1" applyBorder="1" applyFont="1">
      <alignment horizontal="center" readingOrder="0" shrinkToFit="0" wrapText="1"/>
    </xf>
    <xf borderId="45" fillId="0" fontId="28" numFmtId="0" xfId="0" applyAlignment="1" applyBorder="1" applyFont="1">
      <alignment vertical="bottom"/>
    </xf>
    <xf quotePrefix="1" borderId="46" fillId="0" fontId="80" numFmtId="0" xfId="0" applyAlignment="1" applyBorder="1" applyFont="1">
      <alignment vertical="bottom"/>
    </xf>
    <xf borderId="46" fillId="0" fontId="3" numFmtId="0" xfId="0" applyBorder="1" applyFont="1"/>
    <xf borderId="29" fillId="0" fontId="87" numFmtId="166" xfId="0" applyAlignment="1" applyBorder="1" applyFont="1" applyNumberFormat="1">
      <alignment horizontal="center"/>
    </xf>
    <xf quotePrefix="1" borderId="1" fillId="6" fontId="77" numFmtId="0" xfId="0" applyAlignment="1" applyBorder="1" applyFont="1">
      <alignment readingOrder="0"/>
    </xf>
    <xf borderId="11" fillId="0" fontId="1" numFmtId="0" xfId="0" applyAlignment="1" applyBorder="1" applyFont="1">
      <alignment readingOrder="0"/>
    </xf>
    <xf borderId="11" fillId="0" fontId="1" numFmtId="167" xfId="0" applyBorder="1" applyFont="1" applyNumberFormat="1"/>
    <xf borderId="47" fillId="0" fontId="3" numFmtId="0" xfId="0" applyBorder="1" applyFont="1"/>
    <xf quotePrefix="1" borderId="41" fillId="0" fontId="80" numFmtId="0" xfId="0" applyAlignment="1" applyBorder="1" applyFont="1">
      <alignment readingOrder="0" vertical="bottom"/>
    </xf>
    <xf borderId="1" fillId="0" fontId="88" numFmtId="0" xfId="0" applyAlignment="1" applyBorder="1" applyFont="1">
      <alignment horizontal="center" readingOrder="0"/>
    </xf>
    <xf borderId="48" fillId="0" fontId="89" numFmtId="0" xfId="0" applyAlignment="1" applyBorder="1" applyFont="1">
      <alignment horizontal="center" readingOrder="0" vertical="bottom"/>
    </xf>
    <xf borderId="49" fillId="0" fontId="3" numFmtId="0" xfId="0" applyBorder="1" applyFont="1"/>
    <xf borderId="50" fillId="0" fontId="3" numFmtId="0" xfId="0" applyBorder="1" applyFont="1"/>
    <xf borderId="51" fillId="0" fontId="28" numFmtId="0" xfId="0" applyAlignment="1" applyBorder="1" applyFont="1">
      <alignment vertical="bottom"/>
    </xf>
    <xf borderId="52" fillId="3" fontId="90" numFmtId="166" xfId="0" applyAlignment="1" applyBorder="1" applyFont="1" applyNumberFormat="1">
      <alignment horizontal="center" readingOrder="0" shrinkToFit="0" vertical="center" wrapText="1"/>
    </xf>
    <xf borderId="1" fillId="3" fontId="1" numFmtId="0" xfId="0" applyAlignment="1" applyBorder="1" applyFont="1">
      <alignment shrinkToFit="0" vertical="center" wrapText="1"/>
    </xf>
    <xf borderId="53" fillId="3" fontId="1" numFmtId="0" xfId="0" applyAlignment="1" applyBorder="1" applyFont="1">
      <alignment shrinkToFit="0" vertical="center" wrapText="1"/>
    </xf>
    <xf borderId="0" fillId="3" fontId="1" numFmtId="0" xfId="0" applyAlignment="1" applyFont="1">
      <alignment shrinkToFit="0" vertical="center" wrapText="1"/>
    </xf>
    <xf borderId="52" fillId="3" fontId="90" numFmtId="166" xfId="0" applyAlignment="1" applyBorder="1" applyFont="1" applyNumberFormat="1">
      <alignment horizontal="center" shrinkToFit="0" vertical="center" wrapText="1"/>
    </xf>
    <xf borderId="3" fillId="27" fontId="3" numFmtId="0" xfId="0" applyBorder="1" applyFill="1" applyFont="1"/>
    <xf borderId="2" fillId="27" fontId="3" numFmtId="0" xfId="0" applyBorder="1" applyFont="1"/>
    <xf borderId="19" fillId="3" fontId="78" numFmtId="0" xfId="0" applyAlignment="1" applyBorder="1" applyFont="1">
      <alignment shrinkToFit="0" vertical="center" wrapText="1"/>
    </xf>
    <xf borderId="20" fillId="3" fontId="3" numFmtId="0" xfId="0" applyBorder="1" applyFont="1"/>
    <xf borderId="0" fillId="3" fontId="17" numFmtId="0" xfId="0" applyAlignment="1" applyFont="1">
      <alignment horizontal="center" readingOrder="0" shrinkToFit="0" vertical="center" wrapText="1"/>
    </xf>
    <xf borderId="0" fillId="3" fontId="78" numFmtId="0" xfId="0" applyAlignment="1" applyFont="1">
      <alignment shrinkToFit="0" vertical="center" wrapText="1"/>
    </xf>
    <xf borderId="20" fillId="28" fontId="3" numFmtId="0" xfId="0" applyBorder="1" applyFill="1" applyFont="1"/>
    <xf borderId="0" fillId="3" fontId="1" numFmtId="0" xfId="0" applyAlignment="1" applyFont="1">
      <alignment vertical="top"/>
    </xf>
    <xf borderId="19" fillId="3" fontId="1" numFmtId="0" xfId="0" applyAlignment="1" applyBorder="1" applyFont="1">
      <alignment shrinkToFit="0" vertical="center" wrapText="1"/>
    </xf>
    <xf borderId="19" fillId="3" fontId="78" numFmtId="0" xfId="0" applyAlignment="1" applyBorder="1" applyFont="1">
      <alignment horizontal="center" shrinkToFit="0" vertical="center" wrapText="1"/>
    </xf>
    <xf borderId="23" fillId="3" fontId="1" numFmtId="0" xfId="0" applyAlignment="1" applyBorder="1" applyFont="1">
      <alignment shrinkToFit="0" vertical="center" wrapText="1"/>
    </xf>
    <xf borderId="3" fillId="28" fontId="3" numFmtId="0" xfId="0" applyBorder="1" applyFont="1"/>
    <xf borderId="2" fillId="28" fontId="3" numFmtId="0" xfId="0" applyBorder="1" applyFont="1"/>
    <xf borderId="0" fillId="3" fontId="17" numFmtId="0" xfId="0" applyAlignment="1" applyFont="1">
      <alignment horizontal="center" shrinkToFit="0" vertical="center" wrapText="1"/>
    </xf>
    <xf borderId="20" fillId="27" fontId="3" numFmtId="0" xfId="0" applyBorder="1" applyFont="1"/>
    <xf borderId="24" fillId="28" fontId="3" numFmtId="0" xfId="0" applyBorder="1" applyFont="1"/>
    <xf borderId="25" fillId="28" fontId="3" numFmtId="0" xfId="0" applyBorder="1" applyFont="1"/>
    <xf borderId="3" fillId="3" fontId="3" numFmtId="0" xfId="0" applyBorder="1" applyFont="1"/>
    <xf borderId="2" fillId="3" fontId="3" numFmtId="0" xfId="0" applyBorder="1" applyFont="1"/>
    <xf borderId="0" fillId="3" fontId="1" numFmtId="0" xfId="0" applyAlignment="1" applyFont="1">
      <alignment shrinkToFit="0" vertical="top" wrapText="1"/>
    </xf>
    <xf borderId="0" fillId="3" fontId="1" numFmtId="0" xfId="0" applyAlignment="1" applyFont="1">
      <alignment shrinkToFit="0" wrapText="1"/>
    </xf>
    <xf borderId="24" fillId="3" fontId="3" numFmtId="0" xfId="0" applyBorder="1" applyFont="1"/>
    <xf borderId="25" fillId="3" fontId="3" numFmtId="0" xfId="0" applyBorder="1" applyFont="1"/>
    <xf borderId="52" fillId="28" fontId="90" numFmtId="166" xfId="0" applyAlignment="1" applyBorder="1" applyFont="1" applyNumberFormat="1">
      <alignment horizontal="center" shrinkToFit="0" vertical="center" wrapText="1"/>
    </xf>
    <xf borderId="1" fillId="17" fontId="1" numFmtId="0" xfId="0" applyAlignment="1" applyBorder="1" applyFont="1">
      <alignment readingOrder="0"/>
    </xf>
    <xf borderId="4" fillId="0" fontId="1" numFmtId="0" xfId="0" applyBorder="1" applyFont="1"/>
    <xf borderId="4" fillId="17" fontId="1" numFmtId="0" xfId="0" applyAlignment="1" applyBorder="1" applyFont="1">
      <alignment readingOrder="0" shrinkToFit="0" wrapText="1"/>
    </xf>
    <xf borderId="0" fillId="2" fontId="2" numFmtId="0" xfId="0" applyAlignment="1" applyFont="1">
      <alignment horizontal="center" readingOrder="0"/>
    </xf>
    <xf borderId="4" fillId="3" fontId="90" numFmtId="166" xfId="0" applyAlignment="1" applyBorder="1" applyFont="1" applyNumberFormat="1">
      <alignment horizontal="center" shrinkToFit="0" vertical="top" wrapText="1"/>
    </xf>
    <xf borderId="1" fillId="3" fontId="1" numFmtId="0" xfId="0" applyAlignment="1" applyBorder="1" applyFont="1">
      <alignment readingOrder="0" shrinkToFit="0" vertical="top" wrapText="1"/>
    </xf>
    <xf borderId="9" fillId="3" fontId="78" numFmtId="0" xfId="0" applyAlignment="1" applyBorder="1" applyFont="1">
      <alignment readingOrder="0" shrinkToFit="0" vertical="top" wrapText="1"/>
    </xf>
    <xf borderId="11" fillId="17" fontId="3" numFmtId="0" xfId="0" applyBorder="1" applyFont="1"/>
    <xf borderId="7" fillId="3" fontId="78" numFmtId="0" xfId="0" applyAlignment="1" applyBorder="1" applyFont="1">
      <alignment readingOrder="0" shrinkToFit="0" vertical="top" wrapText="1"/>
    </xf>
    <xf borderId="0" fillId="3" fontId="17" numFmtId="0" xfId="0" applyAlignment="1" applyFont="1">
      <alignment horizontal="center" readingOrder="0" shrinkToFit="0" vertical="top" wrapText="1"/>
    </xf>
    <xf borderId="0" fillId="3" fontId="78" numFmtId="0" xfId="0" applyAlignment="1" applyFont="1">
      <alignment readingOrder="0" shrinkToFit="0" vertical="top" wrapText="1"/>
    </xf>
    <xf borderId="0" fillId="3" fontId="17" numFmtId="0" xfId="0" applyAlignment="1" applyFont="1">
      <alignment horizontal="center" shrinkToFit="0" vertical="top" wrapText="1"/>
    </xf>
    <xf borderId="8" fillId="3" fontId="3" numFmtId="0" xfId="0" applyBorder="1" applyFont="1"/>
    <xf borderId="7" fillId="6" fontId="78" numFmtId="0" xfId="0" applyAlignment="1" applyBorder="1" applyFont="1">
      <alignment readingOrder="0" shrinkToFit="0" vertical="top" wrapText="1"/>
    </xf>
    <xf borderId="8" fillId="28" fontId="3" numFmtId="0" xfId="0" applyBorder="1" applyFont="1"/>
    <xf borderId="11" fillId="3" fontId="3" numFmtId="0" xfId="0" applyBorder="1" applyFont="1"/>
    <xf borderId="10" fillId="3" fontId="3" numFmtId="0" xfId="0" applyBorder="1" applyFont="1"/>
    <xf borderId="1" fillId="3" fontId="1" numFmtId="0" xfId="0" applyAlignment="1" applyBorder="1" applyFont="1">
      <alignment shrinkToFit="0" vertical="top" wrapText="1"/>
    </xf>
    <xf borderId="9" fillId="3" fontId="78" numFmtId="0" xfId="0" applyAlignment="1" applyBorder="1" applyFont="1">
      <alignment shrinkToFit="0" vertical="top" wrapText="1"/>
    </xf>
    <xf borderId="11" fillId="27" fontId="3" numFmtId="0" xfId="0" applyBorder="1" applyFont="1"/>
    <xf borderId="10" fillId="27" fontId="3" numFmtId="0" xfId="0" applyBorder="1" applyFont="1"/>
    <xf borderId="8" fillId="27" fontId="3" numFmtId="0" xfId="0" applyBorder="1" applyFont="1"/>
    <xf borderId="11" fillId="28" fontId="3" numFmtId="0" xfId="0" applyBorder="1" applyFont="1"/>
    <xf borderId="10" fillId="28" fontId="3" numFmtId="0" xfId="0" applyBorder="1" applyFont="1"/>
    <xf borderId="0" fillId="3" fontId="1" numFmtId="0" xfId="0" applyAlignment="1" applyFont="1">
      <alignment readingOrder="0"/>
    </xf>
    <xf borderId="41" fillId="0" fontId="91" numFmtId="0" xfId="0" applyAlignment="1" applyBorder="1" applyFont="1">
      <alignment horizontal="center" vertical="bottom"/>
    </xf>
    <xf borderId="1" fillId="29" fontId="92" numFmtId="0" xfId="0" applyAlignment="1" applyBorder="1" applyFill="1" applyFont="1">
      <alignment horizontal="center" shrinkToFit="0" wrapText="1"/>
    </xf>
    <xf borderId="29" fillId="0" fontId="1" numFmtId="0" xfId="0" applyBorder="1" applyFont="1"/>
    <xf borderId="1" fillId="30" fontId="92" numFmtId="0" xfId="0" applyAlignment="1" applyBorder="1" applyFill="1" applyFont="1">
      <alignment horizontal="center" shrinkToFit="0" wrapText="1"/>
    </xf>
    <xf borderId="1" fillId="31" fontId="92" numFmtId="0" xfId="0" applyAlignment="1" applyBorder="1" applyFill="1" applyFont="1">
      <alignment horizontal="center" shrinkToFit="0" wrapText="1"/>
    </xf>
    <xf borderId="1" fillId="9" fontId="92" numFmtId="0" xfId="0" applyAlignment="1" applyBorder="1" applyFont="1">
      <alignment horizontal="center" shrinkToFit="0" wrapText="1"/>
    </xf>
    <xf borderId="1" fillId="32" fontId="92" numFmtId="0" xfId="0" applyAlignment="1" applyBorder="1" applyFill="1" applyFont="1">
      <alignment horizontal="center" shrinkToFit="0" wrapText="1"/>
    </xf>
    <xf borderId="1" fillId="33" fontId="92" numFmtId="0" xfId="0" applyAlignment="1" applyBorder="1" applyFill="1" applyFont="1">
      <alignment horizontal="center" shrinkToFit="0" wrapText="1"/>
    </xf>
    <xf borderId="0" fillId="3" fontId="92" numFmtId="0" xfId="0" applyAlignment="1" applyFont="1">
      <alignment horizontal="center" shrinkToFit="0" wrapText="1"/>
    </xf>
    <xf borderId="4" fillId="3" fontId="90" numFmtId="166" xfId="0" applyAlignment="1" applyBorder="1" applyFont="1" applyNumberFormat="1">
      <alignment horizontal="center"/>
    </xf>
    <xf borderId="1" fillId="3" fontId="1" numFmtId="0" xfId="0" applyBorder="1" applyFont="1"/>
    <xf borderId="7" fillId="17" fontId="78" numFmtId="0" xfId="0" applyAlignment="1" applyBorder="1" applyFont="1">
      <alignment readingOrder="0" shrinkToFit="0" wrapText="1"/>
    </xf>
    <xf borderId="0" fillId="3" fontId="17" numFmtId="0" xfId="0" applyAlignment="1" applyFont="1">
      <alignment horizontal="center" shrinkToFit="0" wrapText="1"/>
    </xf>
    <xf borderId="0" fillId="17" fontId="78" numFmtId="0" xfId="0" applyAlignment="1" applyFont="1">
      <alignment readingOrder="0" shrinkToFit="0" wrapText="0"/>
    </xf>
    <xf borderId="7" fillId="6" fontId="78" numFmtId="0" xfId="0" applyAlignment="1" applyBorder="1" applyFont="1">
      <alignment readingOrder="0" shrinkToFit="0" wrapText="0"/>
    </xf>
    <xf borderId="0" fillId="3" fontId="78" numFmtId="0" xfId="0" applyAlignment="1" applyFont="1">
      <alignment readingOrder="0" shrinkToFit="0" wrapText="0"/>
    </xf>
    <xf borderId="0" fillId="6" fontId="78" numFmtId="0" xfId="0" applyAlignment="1" applyFont="1">
      <alignment readingOrder="0" shrinkToFit="0" wrapText="0"/>
    </xf>
    <xf borderId="7" fillId="17" fontId="78" numFmtId="0" xfId="0" applyAlignment="1" applyBorder="1" applyFont="1">
      <alignment readingOrder="0" shrinkToFit="0" wrapText="0"/>
    </xf>
    <xf borderId="0" fillId="3" fontId="78" numFmtId="0" xfId="0" applyAlignment="1" applyFont="1">
      <alignment shrinkToFit="0" wrapText="1"/>
    </xf>
    <xf borderId="7" fillId="17" fontId="78" numFmtId="0" xfId="0" applyAlignment="1" applyBorder="1" applyFont="1">
      <alignment horizontal="center" readingOrder="0" shrinkToFit="0" wrapText="1"/>
    </xf>
    <xf borderId="9" fillId="3" fontId="78" numFmtId="0" xfId="0" applyAlignment="1" applyBorder="1" applyFont="1">
      <alignment shrinkToFit="0" wrapText="1"/>
    </xf>
    <xf borderId="54" fillId="0" fontId="28" numFmtId="0" xfId="0" applyAlignment="1" applyBorder="1" applyFont="1">
      <alignment vertical="bottom"/>
    </xf>
    <xf borderId="6" fillId="0" fontId="28" numFmtId="0" xfId="0" applyAlignment="1" applyBorder="1" applyFont="1">
      <alignment vertical="bottom"/>
    </xf>
    <xf borderId="55" fillId="0" fontId="3" numFmtId="0" xfId="0" applyBorder="1" applyFont="1"/>
    <xf borderId="12" fillId="0" fontId="28" numFmtId="0" xfId="0" applyAlignment="1" applyBorder="1" applyFont="1">
      <alignment vertical="bottom"/>
    </xf>
    <xf borderId="56" fillId="0" fontId="93" numFmtId="0" xfId="0" applyAlignment="1" applyBorder="1" applyFont="1">
      <alignment horizontal="center" vertical="bottom"/>
    </xf>
    <xf borderId="57" fillId="0" fontId="3" numFmtId="0" xfId="0" applyBorder="1" applyFont="1"/>
    <xf borderId="58" fillId="3" fontId="94" numFmtId="0" xfId="0" applyAlignment="1" applyBorder="1" applyFont="1">
      <alignment horizontal="center" vertical="bottom"/>
    </xf>
    <xf borderId="59" fillId="0" fontId="3" numFmtId="0" xfId="0" applyBorder="1" applyFont="1"/>
    <xf borderId="60" fillId="0" fontId="28" numFmtId="0" xfId="0" applyAlignment="1" applyBorder="1" applyFont="1">
      <alignment vertical="bottom"/>
    </xf>
    <xf borderId="61" fillId="0" fontId="28" numFmtId="0" xfId="0" applyAlignment="1" applyBorder="1" applyFont="1">
      <alignment vertical="bottom"/>
    </xf>
    <xf borderId="1" fillId="3" fontId="95" numFmtId="0" xfId="0" applyAlignment="1" applyBorder="1" applyFont="1">
      <alignment horizontal="center" readingOrder="0" shrinkToFit="0" vertical="bottom" wrapText="1"/>
    </xf>
    <xf borderId="62" fillId="0" fontId="28" numFmtId="0" xfId="0" applyAlignment="1" applyBorder="1" applyFont="1">
      <alignment vertical="bottom"/>
    </xf>
    <xf borderId="63" fillId="0" fontId="28" numFmtId="0" xfId="0" applyAlignment="1" applyBorder="1" applyFont="1">
      <alignment vertical="bottom"/>
    </xf>
    <xf borderId="57" fillId="0" fontId="28" numFmtId="0" xfId="0" applyAlignment="1" applyBorder="1" applyFont="1">
      <alignment vertical="bottom"/>
    </xf>
    <xf borderId="64" fillId="0" fontId="96" numFmtId="0" xfId="0" applyAlignment="1" applyBorder="1" applyFont="1">
      <alignment horizontal="center" vertical="top"/>
    </xf>
    <xf borderId="56" fillId="0" fontId="28" numFmtId="0" xfId="0" applyAlignment="1" applyBorder="1" applyFont="1">
      <alignment vertical="bottom"/>
    </xf>
    <xf borderId="64" fillId="0" fontId="28" numFmtId="0" xfId="0" applyAlignment="1" applyBorder="1" applyFont="1">
      <alignment vertical="bottom"/>
    </xf>
    <xf borderId="56" fillId="0" fontId="97" numFmtId="0" xfId="0" applyAlignment="1" applyBorder="1" applyFont="1">
      <alignment horizontal="center" vertical="bottom"/>
    </xf>
    <xf borderId="65" fillId="0" fontId="28" numFmtId="0" xfId="0" applyAlignment="1" applyBorder="1" applyFont="1">
      <alignment vertical="bottom"/>
    </xf>
    <xf borderId="1" fillId="0" fontId="93" numFmtId="0" xfId="0" applyAlignment="1" applyBorder="1" applyFont="1">
      <alignment horizontal="center" vertical="bottom"/>
    </xf>
    <xf borderId="1" fillId="28" fontId="98" numFmtId="0" xfId="0" applyAlignment="1" applyBorder="1" applyFont="1">
      <alignment vertical="bottom"/>
    </xf>
    <xf borderId="1" fillId="28" fontId="99" numFmtId="0" xfId="0" applyAlignment="1" applyBorder="1" applyFont="1">
      <alignment horizontal="center" textRotation="0" vertical="bottom"/>
    </xf>
    <xf borderId="4" fillId="3" fontId="28" numFmtId="0" xfId="0" applyAlignment="1" applyBorder="1" applyFont="1">
      <alignment vertical="bottom"/>
    </xf>
    <xf borderId="66" fillId="0" fontId="3" numFmtId="0" xfId="0" applyBorder="1" applyFont="1"/>
    <xf borderId="1" fillId="3" fontId="100" numFmtId="0" xfId="0" applyAlignment="1" applyBorder="1" applyFont="1">
      <alignment horizontal="center" readingOrder="0" shrinkToFit="0" vertical="bottom" wrapText="1"/>
    </xf>
    <xf borderId="67" fillId="0" fontId="3" numFmtId="0" xfId="0" applyBorder="1" applyFont="1"/>
    <xf borderId="61" fillId="0" fontId="3" numFmtId="0" xfId="0" applyBorder="1" applyFont="1"/>
    <xf borderId="68" fillId="0" fontId="101" numFmtId="0" xfId="0" applyAlignment="1" applyBorder="1" applyFont="1">
      <alignment horizontal="center" vertical="bottom"/>
    </xf>
    <xf borderId="69" fillId="0" fontId="3" numFmtId="0" xfId="0" applyBorder="1" applyFont="1"/>
    <xf borderId="70" fillId="0" fontId="3" numFmtId="0" xfId="0" applyBorder="1" applyFont="1"/>
    <xf borderId="71" fillId="0" fontId="101" numFmtId="0" xfId="0" applyAlignment="1" applyBorder="1" applyFont="1">
      <alignment horizontal="center" vertical="bottom"/>
    </xf>
    <xf borderId="4" fillId="34" fontId="102" numFmtId="0" xfId="0" applyAlignment="1" applyBorder="1" applyFill="1" applyFont="1">
      <alignment horizontal="center" shrinkToFit="0" wrapText="1"/>
    </xf>
    <xf borderId="4" fillId="9" fontId="103" numFmtId="0" xfId="0" applyAlignment="1" applyBorder="1" applyFont="1">
      <alignment shrinkToFit="0" vertical="bottom" wrapText="1"/>
    </xf>
    <xf borderId="4" fillId="3" fontId="100" numFmtId="0" xfId="0" applyAlignment="1" applyBorder="1" applyFont="1">
      <alignment horizontal="center" shrinkToFit="0" vertical="bottom" wrapText="1"/>
    </xf>
    <xf borderId="1" fillId="0" fontId="28" numFmtId="0" xfId="0" applyAlignment="1" applyBorder="1" applyFont="1">
      <alignment vertical="bottom"/>
    </xf>
    <xf borderId="72" fillId="3" fontId="104" numFmtId="49" xfId="0" applyAlignment="1" applyBorder="1" applyFont="1" applyNumberFormat="1">
      <alignment horizontal="center" vertical="bottom"/>
    </xf>
    <xf borderId="73" fillId="0" fontId="28" numFmtId="0" xfId="0" applyAlignment="1" applyBorder="1" applyFont="1">
      <alignment vertical="bottom"/>
    </xf>
    <xf borderId="70" fillId="3" fontId="28" numFmtId="0" xfId="0" applyAlignment="1" applyBorder="1" applyFont="1">
      <alignment vertical="bottom"/>
    </xf>
    <xf borderId="72" fillId="3" fontId="104" numFmtId="0" xfId="0" applyAlignment="1" applyBorder="1" applyFont="1">
      <alignment horizontal="center" vertical="bottom"/>
    </xf>
    <xf borderId="68" fillId="0" fontId="28" numFmtId="0" xfId="0" applyAlignment="1" applyBorder="1" applyFont="1">
      <alignment vertical="bottom"/>
    </xf>
    <xf borderId="1" fillId="8" fontId="104" numFmtId="0" xfId="0" applyAlignment="1" applyBorder="1" applyFont="1">
      <alignment horizontal="center" shrinkToFit="0" vertical="bottom" wrapText="1"/>
    </xf>
    <xf borderId="71" fillId="0" fontId="3" numFmtId="0" xfId="0" applyBorder="1" applyFont="1"/>
    <xf borderId="74" fillId="3" fontId="28" numFmtId="0" xfId="0" applyAlignment="1" applyBorder="1" applyFont="1">
      <alignment vertical="bottom"/>
    </xf>
    <xf borderId="4" fillId="17" fontId="105" numFmtId="0" xfId="0" applyAlignment="1" applyBorder="1" applyFont="1">
      <alignment horizontal="center" vertical="bottom"/>
    </xf>
    <xf borderId="75" fillId="8" fontId="106" numFmtId="0" xfId="0" applyAlignment="1" applyBorder="1" applyFont="1">
      <alignment shrinkToFit="0" vertical="bottom" wrapText="1"/>
    </xf>
    <xf borderId="76" fillId="0" fontId="3" numFmtId="0" xfId="0" applyBorder="1" applyFont="1"/>
    <xf borderId="77" fillId="0" fontId="3" numFmtId="0" xfId="0" applyBorder="1" applyFont="1"/>
    <xf borderId="78" fillId="3" fontId="107" numFmtId="0" xfId="0" applyAlignment="1" applyBorder="1" applyFont="1">
      <alignment horizontal="center" shrinkToFit="0" vertical="bottom" wrapText="1"/>
    </xf>
    <xf borderId="79" fillId="0" fontId="3" numFmtId="0" xfId="0" applyBorder="1" applyFont="1"/>
    <xf borderId="80" fillId="0" fontId="3" numFmtId="0" xfId="0" applyBorder="1" applyFont="1"/>
    <xf borderId="79" fillId="3" fontId="108" numFmtId="0" xfId="0" applyAlignment="1" applyBorder="1" applyFont="1">
      <alignment horizontal="center" shrinkToFit="0" vertical="bottom" wrapText="1"/>
    </xf>
    <xf borderId="81" fillId="0" fontId="3" numFmtId="0" xfId="0" applyBorder="1" applyFont="1"/>
    <xf borderId="82" fillId="0" fontId="3" numFmtId="0" xfId="0" applyBorder="1" applyFont="1"/>
    <xf borderId="83" fillId="28" fontId="93" numFmtId="0" xfId="0" applyAlignment="1" applyBorder="1" applyFont="1">
      <alignment horizontal="center" vertical="bottom"/>
    </xf>
    <xf borderId="84" fillId="0" fontId="3" numFmtId="0" xfId="0" applyBorder="1" applyFont="1"/>
    <xf borderId="85" fillId="0" fontId="3" numFmtId="0" xfId="0" applyBorder="1" applyFont="1"/>
    <xf borderId="86" fillId="3" fontId="104" numFmtId="169" xfId="0" applyAlignment="1" applyBorder="1" applyFont="1" applyNumberFormat="1">
      <alignment horizontal="center" vertical="bottom"/>
    </xf>
    <xf borderId="87" fillId="3" fontId="28" numFmtId="0" xfId="0" applyAlignment="1" applyBorder="1" applyFont="1">
      <alignment vertical="bottom"/>
    </xf>
    <xf borderId="88" fillId="0" fontId="3" numFmtId="0" xfId="0" applyBorder="1" applyFont="1"/>
    <xf borderId="7" fillId="6" fontId="28" numFmtId="0" xfId="0" applyAlignment="1" applyBorder="1" applyFont="1">
      <alignment vertical="bottom"/>
    </xf>
    <xf borderId="89" fillId="3" fontId="89" numFmtId="0" xfId="0" applyAlignment="1" applyBorder="1" applyFont="1">
      <alignment horizontal="center" vertical="top"/>
    </xf>
    <xf borderId="90" fillId="3" fontId="109" numFmtId="180" xfId="0" applyAlignment="1" applyBorder="1" applyFont="1" applyNumberFormat="1">
      <alignment horizontal="center" vertical="top"/>
    </xf>
    <xf borderId="91" fillId="0" fontId="3" numFmtId="0" xfId="0" applyBorder="1" applyFont="1"/>
    <xf borderId="92" fillId="3" fontId="41" numFmtId="0" xfId="0" applyAlignment="1" applyBorder="1" applyFont="1">
      <alignment horizontal="center" shrinkToFit="0" vertical="bottom" wrapText="1"/>
    </xf>
    <xf borderId="93" fillId="0" fontId="3" numFmtId="0" xfId="0" applyBorder="1" applyFont="1"/>
    <xf borderId="63" fillId="0" fontId="28" numFmtId="0" xfId="0" applyAlignment="1" applyBorder="1" applyFont="1">
      <alignment vertical="top"/>
    </xf>
    <xf borderId="14" fillId="0" fontId="28" numFmtId="0" xfId="0" applyAlignment="1" applyBorder="1" applyFont="1">
      <alignment vertical="top"/>
    </xf>
    <xf borderId="4" fillId="8" fontId="93" numFmtId="0" xfId="0" applyAlignment="1" applyBorder="1" applyFont="1">
      <alignment horizontal="center" vertical="bottom"/>
    </xf>
    <xf borderId="4" fillId="35" fontId="105" numFmtId="0" xfId="0" applyAlignment="1" applyBorder="1" applyFill="1" applyFont="1">
      <alignment horizontal="center" vertical="bottom"/>
    </xf>
    <xf borderId="4" fillId="8" fontId="106" numFmtId="0" xfId="0" applyAlignment="1" applyBorder="1" applyFont="1">
      <alignment shrinkToFit="0" vertical="bottom" wrapText="1"/>
    </xf>
    <xf borderId="56" fillId="3" fontId="99" numFmtId="0" xfId="0" applyAlignment="1" applyBorder="1" applyFont="1">
      <alignment horizontal="center" vertical="bottom"/>
    </xf>
    <xf borderId="69" fillId="0" fontId="28" numFmtId="0" xfId="0" applyAlignment="1" applyBorder="1" applyFont="1">
      <alignment vertical="bottom"/>
    </xf>
    <xf borderId="7" fillId="17" fontId="28" numFmtId="49" xfId="0" applyAlignment="1" applyBorder="1" applyFont="1" applyNumberFormat="1">
      <alignment vertical="bottom"/>
    </xf>
    <xf borderId="23" fillId="0" fontId="3" numFmtId="0" xfId="0" applyBorder="1" applyFont="1"/>
    <xf borderId="94" fillId="0" fontId="3" numFmtId="0" xfId="0" applyBorder="1" applyFont="1"/>
    <xf borderId="95" fillId="0" fontId="3" numFmtId="0" xfId="0" applyBorder="1" applyFont="1"/>
    <xf borderId="62" fillId="0" fontId="28" numFmtId="0" xfId="0" applyAlignment="1" applyBorder="1" applyFont="1">
      <alignment horizontal="right" vertical="bottom"/>
    </xf>
    <xf borderId="68" fillId="3" fontId="98" numFmtId="0" xfId="0" applyAlignment="1" applyBorder="1" applyFont="1">
      <alignment horizontal="center" vertical="bottom"/>
    </xf>
    <xf borderId="96" fillId="0" fontId="28" numFmtId="0" xfId="0" applyAlignment="1" applyBorder="1" applyFont="1">
      <alignment vertical="top"/>
    </xf>
    <xf borderId="71" fillId="0" fontId="28" numFmtId="0" xfId="0" applyAlignment="1" applyBorder="1" applyFont="1">
      <alignment vertical="bottom"/>
    </xf>
    <xf borderId="0" fillId="0" fontId="110" numFmtId="0" xfId="0" applyAlignment="1" applyFont="1">
      <alignment horizontal="center" vertical="bottom"/>
    </xf>
    <xf borderId="97" fillId="28" fontId="103" numFmtId="0" xfId="0" applyAlignment="1" applyBorder="1" applyFont="1">
      <alignment vertical="bottom"/>
    </xf>
    <xf borderId="97" fillId="0" fontId="3" numFmtId="0" xfId="0" applyBorder="1" applyFont="1"/>
    <xf borderId="98" fillId="0" fontId="3" numFmtId="0" xfId="0" applyBorder="1" applyFont="1"/>
    <xf borderId="99" fillId="0" fontId="64" numFmtId="0" xfId="0" applyAlignment="1" applyBorder="1" applyFont="1">
      <alignment horizontal="center" vertical="bottom"/>
    </xf>
    <xf borderId="100" fillId="0" fontId="111" numFmtId="0" xfId="0" applyAlignment="1" applyBorder="1" applyFont="1">
      <alignment vertical="bottom"/>
    </xf>
    <xf borderId="100" fillId="0" fontId="3" numFmtId="0" xfId="0" applyBorder="1" applyFont="1"/>
    <xf borderId="101" fillId="0" fontId="3" numFmtId="0" xfId="0" applyBorder="1" applyFont="1"/>
    <xf borderId="7" fillId="17" fontId="28" numFmtId="0" xfId="0" applyAlignment="1" applyBorder="1" applyFont="1">
      <alignment vertical="bottom"/>
    </xf>
    <xf borderId="69" fillId="8" fontId="52" numFmtId="0" xfId="0" applyAlignment="1" applyBorder="1" applyFont="1">
      <alignment horizontal="right" vertical="bottom"/>
    </xf>
    <xf borderId="69" fillId="28" fontId="103" numFmtId="0" xfId="0" applyAlignment="1" applyBorder="1" applyFont="1">
      <alignment vertical="bottom"/>
    </xf>
    <xf borderId="92" fillId="28" fontId="103" numFmtId="0" xfId="0" applyAlignment="1" applyBorder="1" applyFont="1">
      <alignment vertical="bottom"/>
    </xf>
    <xf borderId="92" fillId="0" fontId="3" numFmtId="0" xfId="0" applyBorder="1" applyFont="1"/>
    <xf borderId="41" fillId="0" fontId="64" numFmtId="0" xfId="0" applyAlignment="1" applyBorder="1" applyFont="1">
      <alignment horizontal="center" vertical="bottom"/>
    </xf>
    <xf borderId="62" fillId="3" fontId="41" numFmtId="0" xfId="0" applyAlignment="1" applyBorder="1" applyFont="1">
      <alignment horizontal="right" readingOrder="0" vertical="bottom"/>
    </xf>
    <xf borderId="65" fillId="0" fontId="3" numFmtId="0" xfId="0" applyBorder="1" applyFont="1"/>
    <xf borderId="69" fillId="0" fontId="103" numFmtId="0" xfId="0" applyAlignment="1" applyBorder="1" applyFont="1">
      <alignment readingOrder="0" vertical="bottom"/>
    </xf>
    <xf borderId="62" fillId="8" fontId="52" numFmtId="0" xfId="0" applyAlignment="1" applyBorder="1" applyFont="1">
      <alignment horizontal="right" vertical="bottom"/>
    </xf>
    <xf borderId="62" fillId="3" fontId="52" numFmtId="0" xfId="0" applyAlignment="1" applyBorder="1" applyFont="1">
      <alignment horizontal="right" vertical="bottom"/>
    </xf>
    <xf borderId="69" fillId="0" fontId="103" numFmtId="0" xfId="0" applyAlignment="1" applyBorder="1" applyFont="1">
      <alignment horizontal="right" vertical="bottom"/>
    </xf>
    <xf borderId="69" fillId="0" fontId="112" numFmtId="0" xfId="0" applyAlignment="1" applyBorder="1" applyFont="1">
      <alignment vertical="bottom"/>
    </xf>
    <xf borderId="4" fillId="35" fontId="93" numFmtId="0" xfId="0" applyAlignment="1" applyBorder="1" applyFont="1">
      <alignment horizontal="center" vertical="bottom"/>
    </xf>
    <xf borderId="90" fillId="8" fontId="52" numFmtId="0" xfId="0" applyAlignment="1" applyBorder="1" applyFont="1">
      <alignment horizontal="right" vertical="bottom"/>
    </xf>
    <xf borderId="102" fillId="0" fontId="3" numFmtId="0" xfId="0" applyBorder="1" applyFont="1"/>
    <xf borderId="71" fillId="28" fontId="103" numFmtId="0" xfId="0" applyAlignment="1" applyBorder="1" applyFont="1">
      <alignment vertical="bottom"/>
    </xf>
    <xf borderId="41" fillId="0" fontId="111" numFmtId="0" xfId="0" applyAlignment="1" applyBorder="1" applyFont="1">
      <alignment vertical="bottom"/>
    </xf>
    <xf borderId="103" fillId="0" fontId="3" numFmtId="0" xfId="0" applyBorder="1" applyFont="1"/>
    <xf borderId="7" fillId="17" fontId="93" numFmtId="0" xfId="0" applyAlignment="1" applyBorder="1" applyFont="1">
      <alignment horizontal="center" vertical="bottom"/>
    </xf>
    <xf borderId="94" fillId="3" fontId="113" numFmtId="0" xfId="0" applyAlignment="1" applyBorder="1" applyFont="1">
      <alignment horizontal="center" vertical="bottom"/>
    </xf>
    <xf borderId="94" fillId="3" fontId="114" numFmtId="0" xfId="0" applyAlignment="1" applyBorder="1" applyFont="1">
      <alignment horizontal="center" vertical="bottom"/>
    </xf>
    <xf borderId="90" fillId="0" fontId="28" numFmtId="0" xfId="0" applyAlignment="1" applyBorder="1" applyFont="1">
      <alignment vertical="bottom"/>
    </xf>
    <xf borderId="83" fillId="0" fontId="115" numFmtId="0" xfId="0" applyAlignment="1" applyBorder="1" applyFont="1">
      <alignment horizontal="center" vertical="bottom"/>
    </xf>
    <xf borderId="104" fillId="0" fontId="3" numFmtId="0" xfId="0" applyBorder="1" applyFont="1"/>
    <xf borderId="105" fillId="0" fontId="115" numFmtId="0" xfId="0" applyAlignment="1" applyBorder="1" applyFont="1">
      <alignment horizontal="center" vertical="bottom"/>
    </xf>
    <xf borderId="70" fillId="0" fontId="28" numFmtId="0" xfId="0" applyAlignment="1" applyBorder="1" applyFont="1">
      <alignment vertical="bottom"/>
    </xf>
    <xf borderId="106" fillId="0" fontId="28" numFmtId="0" xfId="0" applyAlignment="1" applyBorder="1" applyFont="1">
      <alignment vertical="bottom"/>
    </xf>
    <xf borderId="107" fillId="0" fontId="28" numFmtId="0" xfId="0" applyAlignment="1" applyBorder="1" applyFont="1">
      <alignment vertical="bottom"/>
    </xf>
    <xf borderId="72" fillId="0" fontId="116" numFmtId="0" xfId="0" applyAlignment="1" applyBorder="1" applyFont="1">
      <alignment horizontal="center" vertical="bottom"/>
    </xf>
    <xf borderId="96" fillId="0" fontId="28" numFmtId="0" xfId="0" applyAlignment="1" applyBorder="1" applyFont="1">
      <alignment vertical="bottom"/>
    </xf>
    <xf borderId="108" fillId="0" fontId="28" numFmtId="0" xfId="0" applyAlignment="1" applyBorder="1" applyFont="1">
      <alignment vertical="bottom"/>
    </xf>
    <xf borderId="12" fillId="0" fontId="117" numFmtId="0" xfId="0" applyAlignment="1" applyBorder="1" applyFont="1">
      <alignment horizontal="center" vertical="bottom"/>
    </xf>
    <xf borderId="43" fillId="0" fontId="28" numFmtId="0" xfId="0" applyAlignment="1" applyBorder="1" applyFont="1">
      <alignment vertical="bottom"/>
    </xf>
    <xf borderId="15" fillId="0" fontId="118" numFmtId="0" xfId="0" applyAlignment="1" applyBorder="1" applyFont="1">
      <alignment horizontal="center" vertical="bottom"/>
    </xf>
    <xf borderId="14" fillId="0" fontId="28" numFmtId="0" xfId="0" applyAlignment="1" applyBorder="1" applyFont="1">
      <alignment vertical="bottom"/>
    </xf>
    <xf borderId="97" fillId="0" fontId="28" numFmtId="0" xfId="0" applyAlignment="1" applyBorder="1" applyFont="1">
      <alignment vertical="bottom"/>
    </xf>
    <xf borderId="58" fillId="0" fontId="117" numFmtId="0" xfId="0" applyAlignment="1" applyBorder="1" applyFont="1">
      <alignment horizontal="center" vertical="bottom"/>
    </xf>
    <xf borderId="68" fillId="0" fontId="3" numFmtId="0" xfId="0" applyBorder="1" applyFont="1"/>
    <xf borderId="109" fillId="0" fontId="3" numFmtId="0" xfId="0" applyBorder="1" applyFont="1"/>
    <xf borderId="110" fillId="0" fontId="3" numFmtId="0" xfId="0" applyBorder="1" applyFont="1"/>
    <xf borderId="111" fillId="24" fontId="63" numFmtId="0" xfId="0" applyAlignment="1" applyBorder="1" applyFont="1">
      <alignment horizontal="center" vertical="bottom"/>
    </xf>
    <xf borderId="112" fillId="16" fontId="28" numFmtId="0" xfId="0" applyAlignment="1" applyBorder="1" applyFont="1">
      <alignment vertical="bottom"/>
    </xf>
    <xf borderId="32" fillId="16" fontId="28" numFmtId="0" xfId="0" applyAlignment="1" applyBorder="1" applyFont="1">
      <alignment vertical="bottom"/>
    </xf>
    <xf borderId="113" fillId="24" fontId="64" numFmtId="0" xfId="0" applyAlignment="1" applyBorder="1" applyFont="1">
      <alignment horizontal="center" vertical="bottom"/>
    </xf>
    <xf borderId="78" fillId="6" fontId="104" numFmtId="0" xfId="0" applyAlignment="1" applyBorder="1" applyFont="1">
      <alignment horizontal="center" vertical="top"/>
    </xf>
    <xf borderId="12" fillId="3" fontId="119" numFmtId="171" xfId="0" applyAlignment="1" applyBorder="1" applyFont="1" applyNumberFormat="1">
      <alignment horizontal="center" vertical="bottom"/>
    </xf>
    <xf borderId="114" fillId="0" fontId="28" numFmtId="0" xfId="0" applyAlignment="1" applyBorder="1" applyFont="1">
      <alignment vertical="bottom"/>
    </xf>
    <xf borderId="97" fillId="3" fontId="28" numFmtId="0" xfId="0" applyAlignment="1" applyBorder="1" applyFont="1">
      <alignment vertical="bottom"/>
    </xf>
    <xf borderId="74" fillId="0" fontId="28" numFmtId="0" xfId="0" applyAlignment="1" applyBorder="1" applyFont="1">
      <alignment vertical="bottom"/>
    </xf>
    <xf borderId="115" fillId="0" fontId="28" numFmtId="0" xfId="0" applyAlignment="1" applyBorder="1" applyFont="1">
      <alignment horizontal="center"/>
    </xf>
    <xf borderId="108" fillId="28" fontId="120" numFmtId="0" xfId="0" applyAlignment="1" applyBorder="1" applyFont="1">
      <alignment horizontal="right" vertical="bottom"/>
    </xf>
    <xf borderId="114" fillId="0" fontId="3" numFmtId="0" xfId="0" applyBorder="1" applyFont="1"/>
    <xf borderId="76" fillId="28" fontId="121" numFmtId="0" xfId="0" applyAlignment="1" applyBorder="1" applyFont="1">
      <alignment shrinkToFit="0" vertical="top" wrapText="1"/>
    </xf>
    <xf borderId="116" fillId="0" fontId="3" numFmtId="0" xfId="0" applyBorder="1" applyFont="1"/>
    <xf borderId="75" fillId="28" fontId="121" numFmtId="0" xfId="0" applyAlignment="1" applyBorder="1" applyFont="1">
      <alignment horizontal="center" vertical="bottom"/>
    </xf>
    <xf borderId="76" fillId="3" fontId="28" numFmtId="0" xfId="0" applyAlignment="1" applyBorder="1" applyFont="1">
      <alignment vertical="bottom"/>
    </xf>
    <xf borderId="96" fillId="3" fontId="28" numFmtId="0" xfId="0" applyAlignment="1" applyBorder="1" applyFont="1">
      <alignment vertical="bottom"/>
    </xf>
    <xf borderId="117" fillId="0" fontId="3" numFmtId="0" xfId="0" applyBorder="1" applyFont="1"/>
    <xf borderId="0" fillId="28" fontId="122" numFmtId="0" xfId="0" applyAlignment="1" applyFont="1">
      <alignment horizontal="center" vertical="bottom"/>
    </xf>
    <xf borderId="118" fillId="24" fontId="64" numFmtId="0" xfId="0" applyAlignment="1" applyBorder="1" applyFont="1">
      <alignment horizontal="center" vertical="bottom"/>
    </xf>
    <xf borderId="119" fillId="6" fontId="104" numFmtId="0" xfId="0" applyAlignment="1" applyBorder="1" applyFont="1">
      <alignment horizontal="center" vertical="top"/>
    </xf>
    <xf borderId="120" fillId="0" fontId="3" numFmtId="0" xfId="0" applyBorder="1" applyFont="1"/>
    <xf borderId="121" fillId="3" fontId="99" numFmtId="171" xfId="0" applyAlignment="1" applyBorder="1" applyFont="1" applyNumberFormat="1">
      <alignment horizontal="center" vertical="bottom"/>
    </xf>
    <xf borderId="122" fillId="0" fontId="3" numFmtId="0" xfId="0" applyBorder="1" applyFont="1"/>
    <xf borderId="7" fillId="28" fontId="121" numFmtId="0" xfId="0" applyAlignment="1" applyBorder="1" applyFont="1">
      <alignment horizontal="center" shrinkToFit="0" vertical="bottom" wrapText="1"/>
    </xf>
    <xf borderId="123" fillId="0" fontId="3" numFmtId="0" xfId="0" applyBorder="1" applyFont="1"/>
    <xf borderId="124" fillId="0" fontId="3" numFmtId="0" xfId="0" applyBorder="1" applyFont="1"/>
    <xf borderId="125" fillId="0" fontId="3" numFmtId="0" xfId="0" applyBorder="1" applyFont="1"/>
    <xf borderId="126" fillId="0" fontId="3" numFmtId="0" xfId="0" applyBorder="1" applyFont="1"/>
    <xf borderId="87" fillId="28" fontId="28" numFmtId="0" xfId="0" applyAlignment="1" applyBorder="1" applyFont="1">
      <alignment horizontal="center" vertical="bottom"/>
    </xf>
    <xf borderId="127" fillId="0" fontId="3" numFmtId="0" xfId="0" applyBorder="1" applyFont="1"/>
    <xf borderId="24" fillId="0" fontId="123" numFmtId="166" xfId="0" applyAlignment="1" applyBorder="1" applyFont="1" applyNumberFormat="1">
      <alignment horizontal="center" vertical="bottom"/>
    </xf>
    <xf borderId="87" fillId="0" fontId="28" numFmtId="0" xfId="0" applyAlignment="1" applyBorder="1" applyFont="1">
      <alignment vertical="bottom"/>
    </xf>
    <xf borderId="95" fillId="0" fontId="28" numFmtId="0" xfId="0" applyAlignment="1" applyBorder="1" applyFont="1">
      <alignment vertical="bottom"/>
    </xf>
    <xf borderId="86" fillId="0" fontId="3" numFmtId="0" xfId="0" applyBorder="1" applyFont="1"/>
    <xf borderId="128" fillId="0" fontId="3" numFmtId="0" xfId="0" applyBorder="1" applyFont="1"/>
    <xf borderId="76" fillId="0" fontId="28" numFmtId="0" xfId="0" applyAlignment="1" applyBorder="1" applyFont="1">
      <alignment vertical="bottom"/>
    </xf>
    <xf borderId="5" fillId="0" fontId="28" numFmtId="0" xfId="0" applyAlignment="1" applyBorder="1" applyFont="1">
      <alignment vertical="bottom"/>
    </xf>
    <xf borderId="1" fillId="26" fontId="124" numFmtId="0" xfId="0" applyAlignment="1" applyBorder="1" applyFont="1">
      <alignment horizontal="center" readingOrder="0" vertical="bottom"/>
    </xf>
    <xf borderId="29" fillId="6" fontId="28" numFmtId="0" xfId="0" applyAlignment="1" applyBorder="1" applyFont="1">
      <alignment horizontal="center" readingOrder="0" vertical="bottom"/>
    </xf>
    <xf borderId="0" fillId="0" fontId="28" numFmtId="0" xfId="0" applyAlignment="1" applyFont="1">
      <alignment readingOrder="0" vertical="bottom"/>
    </xf>
    <xf borderId="0" fillId="3" fontId="124" numFmtId="0" xfId="0" applyAlignment="1" applyFont="1">
      <alignment horizontal="center" vertical="bottom"/>
    </xf>
    <xf borderId="1" fillId="0" fontId="54" numFmtId="0" xfId="0" applyAlignment="1" applyBorder="1" applyFont="1">
      <alignment vertical="bottom"/>
    </xf>
    <xf borderId="1" fillId="26" fontId="54" numFmtId="0" xfId="0" applyAlignment="1" applyBorder="1" applyFont="1">
      <alignment horizontal="center" vertical="bottom"/>
    </xf>
    <xf borderId="1" fillId="26" fontId="54" numFmtId="0" xfId="0" applyAlignment="1" applyBorder="1" applyFont="1">
      <alignment horizontal="center" readingOrder="0" vertical="bottom"/>
    </xf>
    <xf borderId="1" fillId="26" fontId="28" numFmtId="0" xfId="0" applyAlignment="1" applyBorder="1" applyFont="1">
      <alignment vertical="bottom"/>
    </xf>
    <xf borderId="1" fillId="0" fontId="125" numFmtId="175" xfId="0" applyAlignment="1" applyBorder="1" applyFont="1" applyNumberFormat="1">
      <alignment horizontal="center" vertical="bottom"/>
    </xf>
    <xf borderId="3" fillId="0" fontId="125" numFmtId="175" xfId="0" applyAlignment="1" applyBorder="1" applyFont="1" applyNumberFormat="1">
      <alignment horizontal="center" vertical="bottom"/>
    </xf>
    <xf borderId="2" fillId="0" fontId="125" numFmtId="175" xfId="0" applyAlignment="1" applyBorder="1" applyFont="1" applyNumberFormat="1">
      <alignment horizontal="center" vertical="bottom"/>
    </xf>
    <xf borderId="29" fillId="0" fontId="28" numFmtId="0" xfId="0" applyAlignment="1" applyBorder="1" applyFont="1">
      <alignment horizontal="center" vertical="bottom"/>
    </xf>
    <xf borderId="1" fillId="26" fontId="28" numFmtId="0" xfId="0" applyAlignment="1" applyBorder="1" applyFont="1">
      <alignment horizontal="right" vertical="bottom"/>
    </xf>
    <xf borderId="1" fillId="0" fontId="125" numFmtId="0" xfId="0" applyAlignment="1" applyBorder="1" applyFont="1">
      <alignment horizontal="center" vertical="bottom"/>
    </xf>
    <xf borderId="3" fillId="0" fontId="28" numFmtId="175" xfId="0" applyAlignment="1" applyBorder="1" applyFont="1" applyNumberFormat="1">
      <alignment vertical="bottom"/>
    </xf>
    <xf borderId="2" fillId="0" fontId="28" numFmtId="175" xfId="0" applyAlignment="1" applyBorder="1" applyFont="1" applyNumberFormat="1">
      <alignment vertical="bottom"/>
    </xf>
    <xf borderId="1" fillId="3" fontId="125" numFmtId="0" xfId="0" applyAlignment="1" applyBorder="1" applyFont="1">
      <alignment horizontal="center" vertical="bottom"/>
    </xf>
    <xf borderId="3" fillId="0" fontId="28" numFmtId="0" xfId="0" applyAlignment="1" applyBorder="1" applyFont="1">
      <alignment vertical="bottom"/>
    </xf>
    <xf borderId="2" fillId="0" fontId="28" numFmtId="0" xfId="0" applyAlignment="1" applyBorder="1" applyFont="1">
      <alignment vertical="bottom"/>
    </xf>
    <xf borderId="1" fillId="3" fontId="28" numFmtId="0" xfId="0" applyAlignment="1" applyBorder="1" applyFont="1">
      <alignment vertical="bottom"/>
    </xf>
    <xf borderId="0" fillId="0" fontId="28" numFmtId="0" xfId="0" applyAlignment="1" applyFont="1">
      <alignment vertical="top"/>
    </xf>
    <xf borderId="1" fillId="0" fontId="125" numFmtId="171" xfId="0" applyAlignment="1" applyBorder="1" applyFont="1" applyNumberFormat="1">
      <alignment horizontal="center" vertical="bottom"/>
    </xf>
    <xf borderId="3" fillId="0" fontId="28" numFmtId="171" xfId="0" applyAlignment="1" applyBorder="1" applyFont="1" applyNumberFormat="1">
      <alignment vertical="bottom"/>
    </xf>
    <xf borderId="2" fillId="0" fontId="28" numFmtId="171" xfId="0" applyAlignment="1" applyBorder="1" applyFont="1" applyNumberFormat="1">
      <alignment vertical="bottom"/>
    </xf>
    <xf borderId="1" fillId="0" fontId="54" numFmtId="0" xfId="0" applyAlignment="1" applyBorder="1" applyFont="1">
      <alignment horizontal="center" vertical="bottom"/>
    </xf>
    <xf borderId="3" fillId="26" fontId="28" numFmtId="0" xfId="0" applyAlignment="1" applyBorder="1" applyFont="1">
      <alignment vertical="bottom"/>
    </xf>
    <xf borderId="2" fillId="26" fontId="28" numFmtId="0" xfId="0" applyAlignment="1" applyBorder="1" applyFont="1">
      <alignment vertical="bottom"/>
    </xf>
    <xf borderId="1" fillId="0" fontId="28" numFmtId="175" xfId="0" applyAlignment="1" applyBorder="1" applyFont="1" applyNumberFormat="1">
      <alignment vertical="bottom"/>
    </xf>
    <xf borderId="7" fillId="0" fontId="103" numFmtId="0" xfId="0" applyAlignment="1" applyBorder="1" applyFont="1">
      <alignment horizontal="center" shrinkToFit="0" wrapText="1"/>
    </xf>
    <xf borderId="0" fillId="0" fontId="28" numFmtId="49" xfId="0" applyFont="1" applyNumberFormat="1"/>
    <xf borderId="0" fillId="0" fontId="28" numFmtId="49" xfId="0" applyAlignment="1" applyFont="1" applyNumberFormat="1">
      <alignment vertical="bottom"/>
    </xf>
    <xf borderId="0" fillId="3" fontId="111" numFmtId="0" xfId="0" applyAlignment="1" applyFont="1">
      <alignment horizontal="center" shrinkToFit="0" wrapText="1"/>
    </xf>
    <xf borderId="0" fillId="3" fontId="28" numFmtId="0" xfId="0" applyFont="1"/>
    <xf borderId="4" fillId="26" fontId="124" numFmtId="0" xfId="0" applyAlignment="1" applyBorder="1" applyFont="1">
      <alignment horizontal="center" readingOrder="0" shrinkToFit="0" wrapText="1"/>
    </xf>
    <xf borderId="4" fillId="26" fontId="124" numFmtId="0" xfId="0" applyAlignment="1" applyBorder="1" applyFont="1">
      <alignment horizontal="center" shrinkToFit="0" wrapText="1"/>
    </xf>
    <xf borderId="5" fillId="26" fontId="124" numFmtId="0" xfId="0" applyAlignment="1" applyBorder="1" applyFont="1">
      <alignment horizontal="center" shrinkToFit="0" wrapText="1"/>
    </xf>
    <xf borderId="0" fillId="26" fontId="28" numFmtId="0" xfId="0" applyFont="1"/>
    <xf borderId="1" fillId="0" fontId="54" numFmtId="0" xfId="0" applyAlignment="1" applyBorder="1" applyFont="1">
      <alignment shrinkToFit="0" wrapText="1"/>
    </xf>
    <xf borderId="3" fillId="0" fontId="54" numFmtId="0" xfId="0" applyAlignment="1" applyBorder="1" applyFont="1">
      <alignment horizontal="center" shrinkToFit="0" vertical="bottom" wrapText="1"/>
    </xf>
    <xf borderId="1" fillId="0" fontId="123" numFmtId="166" xfId="0" applyAlignment="1" applyBorder="1" applyFont="1" applyNumberFormat="1">
      <alignment horizontal="center" shrinkToFit="0" wrapText="1"/>
    </xf>
    <xf borderId="1" fillId="0" fontId="54" numFmtId="0" xfId="0" applyAlignment="1" applyBorder="1" applyFont="1">
      <alignment horizontal="center" shrinkToFit="0" wrapText="1"/>
    </xf>
    <xf borderId="1" fillId="0" fontId="28" numFmtId="0" xfId="0" applyBorder="1" applyFont="1"/>
    <xf borderId="1" fillId="0" fontId="106" numFmtId="0" xfId="0" applyAlignment="1" applyBorder="1" applyFont="1">
      <alignment shrinkToFit="0" wrapText="1"/>
    </xf>
    <xf borderId="1" fillId="0" fontId="54" numFmtId="169" xfId="0" applyAlignment="1" applyBorder="1" applyFont="1" applyNumberFormat="1">
      <alignment horizontal="center" shrinkToFit="0" wrapText="1"/>
    </xf>
    <xf borderId="0" fillId="0" fontId="28" numFmtId="169" xfId="0" applyFont="1" applyNumberFormat="1"/>
    <xf borderId="3" fillId="0" fontId="106" numFmtId="0" xfId="0" applyAlignment="1" applyBorder="1" applyFont="1">
      <alignment shrinkToFit="0" vertical="bottom" wrapText="1"/>
    </xf>
    <xf borderId="1" fillId="0" fontId="54" numFmtId="0" xfId="0" applyAlignment="1" applyBorder="1" applyFont="1">
      <alignment horizontal="center" shrinkToFit="0" vertical="bottom" wrapText="1"/>
    </xf>
    <xf borderId="1" fillId="0" fontId="106" numFmtId="0" xfId="0" applyAlignment="1" applyBorder="1" applyFont="1">
      <alignment shrinkToFit="0" vertical="bottom" wrapText="1"/>
    </xf>
    <xf borderId="1" fillId="0" fontId="54" numFmtId="0" xfId="0" applyAlignment="1" applyBorder="1" applyFont="1">
      <alignment readingOrder="0" shrinkToFit="0" wrapText="1"/>
    </xf>
    <xf borderId="1" fillId="0" fontId="28" numFmtId="166" xfId="0" applyBorder="1" applyFont="1" applyNumberFormat="1"/>
    <xf borderId="1" fillId="0" fontId="28" numFmtId="169" xfId="0" applyBorder="1" applyFont="1" applyNumberFormat="1"/>
    <xf borderId="7" fillId="0" fontId="28" numFmtId="0" xfId="0" applyBorder="1" applyFont="1"/>
    <xf borderId="7" fillId="0" fontId="28" numFmtId="0" xfId="0" applyAlignment="1" applyBorder="1" applyFont="1">
      <alignment vertical="bottom"/>
    </xf>
    <xf borderId="0" fillId="8" fontId="126" numFmtId="0" xfId="0" applyAlignment="1" applyFont="1">
      <alignment horizontal="center" vertical="bottom"/>
    </xf>
    <xf borderId="7" fillId="0" fontId="41" numFmtId="0" xfId="0" applyAlignment="1" applyBorder="1" applyFont="1">
      <alignment horizontal="right" vertical="bottom"/>
    </xf>
    <xf borderId="129" fillId="0" fontId="126" numFmtId="0" xfId="0" applyAlignment="1" applyBorder="1" applyFont="1">
      <alignment horizontal="center" vertical="bottom"/>
    </xf>
    <xf borderId="130" fillId="0" fontId="3" numFmtId="0" xfId="0" applyBorder="1" applyFont="1"/>
    <xf borderId="131" fillId="0" fontId="3" numFmtId="0" xfId="0" applyBorder="1" applyFont="1"/>
    <xf borderId="132" fillId="0" fontId="126" numFmtId="0" xfId="0" applyAlignment="1" applyBorder="1" applyFont="1">
      <alignment horizontal="center" vertical="bottom"/>
    </xf>
    <xf borderId="132" fillId="0" fontId="126" numFmtId="0" xfId="0" applyAlignment="1" applyBorder="1" applyFont="1">
      <alignment horizontal="right" vertical="bottom"/>
    </xf>
    <xf borderId="132" fillId="0" fontId="126" numFmtId="0" xfId="0" applyAlignment="1" applyBorder="1" applyFont="1">
      <alignment shrinkToFit="0" vertical="bottom" wrapText="0"/>
    </xf>
    <xf borderId="132" fillId="0" fontId="126" numFmtId="171" xfId="0" applyAlignment="1" applyBorder="1" applyFont="1" applyNumberFormat="1">
      <alignment horizontal="right" shrinkToFit="0" vertical="bottom" wrapText="0"/>
    </xf>
    <xf borderId="129" fillId="0" fontId="126" numFmtId="0" xfId="0" applyAlignment="1" applyBorder="1" applyFont="1">
      <alignment shrinkToFit="0" vertical="bottom" wrapText="0"/>
    </xf>
    <xf borderId="132" fillId="0" fontId="126" numFmtId="0" xfId="0" applyAlignment="1" applyBorder="1" applyFont="1">
      <alignment vertical="bottom"/>
    </xf>
    <xf borderId="132" fillId="0" fontId="126" numFmtId="171" xfId="0" applyAlignment="1" applyBorder="1" applyFont="1" applyNumberFormat="1">
      <alignment horizontal="right" vertical="bottom"/>
    </xf>
    <xf borderId="132" fillId="0" fontId="127" numFmtId="171" xfId="0" applyAlignment="1" applyBorder="1" applyFont="1" applyNumberFormat="1">
      <alignment horizontal="right" vertical="bottom"/>
    </xf>
    <xf quotePrefix="1" borderId="129" fillId="0" fontId="126" numFmtId="0" xfId="0" applyAlignment="1" applyBorder="1" applyFont="1">
      <alignment shrinkToFit="0" vertical="bottom" wrapText="0"/>
    </xf>
    <xf borderId="131" fillId="0" fontId="126" numFmtId="0" xfId="0" applyAlignment="1" applyBorder="1" applyFont="1">
      <alignment horizontal="right" vertical="bottom"/>
    </xf>
    <xf borderId="132" fillId="0" fontId="28" numFmtId="0" xfId="0" applyAlignment="1" applyBorder="1" applyFont="1">
      <alignment vertical="bottom"/>
    </xf>
    <xf borderId="129" fillId="0" fontId="28" numFmtId="0" xfId="0" applyAlignment="1" applyBorder="1" applyFont="1">
      <alignment vertical="bottom"/>
    </xf>
    <xf borderId="131" fillId="0" fontId="28" numFmtId="0" xfId="0" applyAlignment="1" applyBorder="1" applyFont="1">
      <alignment vertical="bottom"/>
    </xf>
    <xf borderId="1" fillId="0" fontId="111" numFmtId="0" xfId="0" applyAlignment="1" applyBorder="1" applyFont="1">
      <alignment horizontal="center" shrinkToFit="0" wrapText="1"/>
    </xf>
    <xf borderId="1" fillId="0" fontId="103" numFmtId="0" xfId="0" applyAlignment="1" applyBorder="1" applyFont="1">
      <alignment horizontal="center" shrinkToFit="0" wrapText="1"/>
    </xf>
    <xf borderId="1" fillId="0" fontId="103" numFmtId="0" xfId="0" applyAlignment="1" applyBorder="1" applyFont="1">
      <alignment horizontal="center"/>
    </xf>
    <xf borderId="3" fillId="0" fontId="111" numFmtId="0" xfId="0" applyAlignment="1" applyBorder="1" applyFont="1">
      <alignment horizontal="center" shrinkToFit="0" wrapText="1"/>
    </xf>
    <xf borderId="1" fillId="26" fontId="124" numFmtId="0" xfId="0" applyAlignment="1" applyBorder="1" applyFont="1">
      <alignment horizontal="center" readingOrder="0" shrinkToFit="0" vertical="bottom" wrapText="0"/>
    </xf>
    <xf borderId="29" fillId="26" fontId="124" numFmtId="0" xfId="0" applyAlignment="1" applyBorder="1" applyFont="1">
      <alignment horizontal="center" shrinkToFit="0" vertical="bottom" wrapText="0"/>
    </xf>
    <xf borderId="1" fillId="26" fontId="124" numFmtId="0" xfId="0" applyAlignment="1" applyBorder="1" applyFont="1">
      <alignment horizontal="center" shrinkToFit="0" vertical="bottom" wrapText="0"/>
    </xf>
    <xf borderId="1" fillId="26" fontId="124" numFmtId="0" xfId="0" applyAlignment="1" applyBorder="1" applyFont="1">
      <alignment horizontal="center" vertical="bottom"/>
    </xf>
    <xf borderId="29" fillId="26" fontId="124" numFmtId="0" xfId="0" applyAlignment="1" applyBorder="1" applyFont="1">
      <alignment horizontal="center" vertical="bottom"/>
    </xf>
    <xf borderId="29" fillId="26" fontId="28" numFmtId="0" xfId="0" applyAlignment="1" applyBorder="1" applyFont="1">
      <alignment vertical="bottom"/>
    </xf>
    <xf borderId="1" fillId="0" fontId="54" numFmtId="0" xfId="0" applyAlignment="1" applyBorder="1" applyFont="1">
      <alignment horizontal="center" readingOrder="0" shrinkToFit="0" vertical="bottom" wrapText="0"/>
    </xf>
    <xf borderId="29" fillId="0" fontId="54" numFmtId="0" xfId="0" applyAlignment="1" applyBorder="1" applyFont="1">
      <alignment horizontal="center" shrinkToFit="0" vertical="bottom" wrapText="0"/>
    </xf>
    <xf borderId="29" fillId="5" fontId="28" numFmtId="0" xfId="0" applyAlignment="1" applyBorder="1" applyFont="1">
      <alignment vertical="bottom"/>
    </xf>
    <xf borderId="29" fillId="0" fontId="28" numFmtId="0" xfId="0" applyAlignment="1" applyBorder="1" applyFont="1">
      <alignment vertical="bottom"/>
    </xf>
    <xf borderId="1" fillId="0" fontId="54" numFmtId="169" xfId="0" applyAlignment="1" applyBorder="1" applyFont="1" applyNumberFormat="1">
      <alignment horizontal="center" shrinkToFit="0" vertical="bottom" wrapText="0"/>
    </xf>
    <xf borderId="1" fillId="0" fontId="28" numFmtId="169" xfId="0" applyAlignment="1" applyBorder="1" applyFont="1" applyNumberFormat="1">
      <alignment vertical="bottom"/>
    </xf>
    <xf borderId="29" fillId="0" fontId="54" numFmtId="0" xfId="0" applyAlignment="1" applyBorder="1" applyFont="1">
      <alignment shrinkToFit="0" vertical="bottom" wrapText="0"/>
    </xf>
    <xf borderId="29" fillId="0" fontId="28" numFmtId="169" xfId="0" applyAlignment="1" applyBorder="1" applyFont="1" applyNumberFormat="1">
      <alignment vertical="bottom"/>
    </xf>
    <xf borderId="29" fillId="0" fontId="128" numFmtId="0" xfId="0" applyAlignment="1" applyBorder="1" applyFont="1">
      <alignment horizontal="center" shrinkToFit="0" vertical="bottom" wrapText="0"/>
    </xf>
    <xf borderId="1" fillId="0" fontId="54" numFmtId="0" xfId="0" applyAlignment="1" applyBorder="1" applyFont="1">
      <alignment horizontal="center" shrinkToFit="0" vertical="bottom" wrapText="0"/>
    </xf>
    <xf borderId="1" fillId="0" fontId="129" numFmtId="0" xfId="0" applyAlignment="1" applyBorder="1" applyFont="1">
      <alignment horizontal="center" shrinkToFit="0" vertical="bottom" wrapText="0"/>
    </xf>
    <xf borderId="29" fillId="0" fontId="54" numFmtId="169" xfId="0" applyAlignment="1" applyBorder="1" applyFont="1" applyNumberFormat="1">
      <alignment shrinkToFit="0" vertical="bottom" wrapText="0"/>
    </xf>
    <xf borderId="2" fillId="0" fontId="54" numFmtId="0" xfId="0" applyAlignment="1" applyBorder="1" applyFont="1">
      <alignment horizontal="center" shrinkToFit="0" vertical="bottom" wrapText="0"/>
    </xf>
    <xf borderId="2" fillId="5" fontId="28" numFmtId="0" xfId="0" applyAlignment="1" applyBorder="1" applyFont="1">
      <alignment vertical="bottom"/>
    </xf>
    <xf borderId="3" fillId="0" fontId="28" numFmtId="169" xfId="0" applyAlignment="1" applyBorder="1" applyFont="1" applyNumberFormat="1">
      <alignment vertical="bottom"/>
    </xf>
    <xf borderId="3" fillId="0" fontId="130" numFmtId="0" xfId="0" applyAlignment="1" applyBorder="1" applyFont="1">
      <alignment horizontal="center" shrinkToFit="0" vertical="bottom" wrapText="0"/>
    </xf>
    <xf borderId="9" fillId="0" fontId="54" numFmtId="0" xfId="0" applyAlignment="1" applyBorder="1" applyFont="1">
      <alignment horizontal="center" shrinkToFit="0" vertical="bottom" wrapText="0"/>
    </xf>
    <xf borderId="10" fillId="0" fontId="54" numFmtId="0" xfId="0" applyAlignment="1" applyBorder="1" applyFont="1">
      <alignment horizontal="center" shrinkToFit="0" vertical="bottom" wrapText="0"/>
    </xf>
    <xf borderId="10" fillId="0" fontId="54" numFmtId="0" xfId="0" applyAlignment="1" applyBorder="1" applyFont="1">
      <alignment shrinkToFit="0" vertical="bottom" wrapText="0"/>
    </xf>
    <xf borderId="10" fillId="5" fontId="28" numFmtId="0" xfId="0" applyAlignment="1" applyBorder="1" applyFont="1">
      <alignment vertical="bottom"/>
    </xf>
    <xf borderId="10" fillId="0" fontId="28" numFmtId="0" xfId="0" applyAlignment="1" applyBorder="1" applyFont="1">
      <alignment vertical="bottom"/>
    </xf>
    <xf borderId="11" fillId="0" fontId="28" numFmtId="169" xfId="0" applyAlignment="1" applyBorder="1" applyFont="1" applyNumberFormat="1">
      <alignment vertical="bottom"/>
    </xf>
    <xf borderId="11" fillId="0" fontId="131" numFmtId="0" xfId="0" applyAlignment="1" applyBorder="1" applyFont="1">
      <alignment horizontal="center" shrinkToFit="0" vertical="bottom" wrapText="0"/>
    </xf>
    <xf borderId="0" fillId="0" fontId="28" numFmtId="0" xfId="0" applyAlignment="1" applyFont="1">
      <alignment horizontal="right" vertical="bottom"/>
    </xf>
    <xf borderId="29" fillId="26" fontId="124" numFmtId="0" xfId="0" applyAlignment="1" applyBorder="1" applyFont="1">
      <alignment horizontal="center" readingOrder="0" shrinkToFit="0" vertical="bottom" wrapText="0"/>
    </xf>
    <xf borderId="29" fillId="0" fontId="54" numFmtId="169" xfId="0" applyAlignment="1" applyBorder="1" applyFont="1" applyNumberFormat="1">
      <alignment horizontal="center" shrinkToFit="0" vertical="bottom" wrapText="0"/>
    </xf>
    <xf borderId="29" fillId="0" fontId="54" numFmtId="0" xfId="0" applyAlignment="1" applyBorder="1" applyFont="1">
      <alignment horizontal="right" shrinkToFit="0" vertical="bottom" wrapText="0"/>
    </xf>
    <xf borderId="1" fillId="0" fontId="54" numFmtId="0" xfId="0" applyAlignment="1" applyBorder="1" applyFont="1">
      <alignment shrinkToFit="0" vertical="bottom" wrapText="0"/>
    </xf>
    <xf borderId="0" fillId="0" fontId="54" numFmtId="169" xfId="0" applyAlignment="1" applyFont="1" applyNumberFormat="1">
      <alignment horizontal="center" vertical="bottom"/>
    </xf>
    <xf borderId="29" fillId="0" fontId="54" numFmtId="169" xfId="0" applyAlignment="1" applyBorder="1" applyFont="1" applyNumberFormat="1">
      <alignment horizontal="center" vertical="bottom"/>
    </xf>
    <xf borderId="0" fillId="0" fontId="54" numFmtId="0" xfId="0" applyAlignment="1" applyFont="1">
      <alignment horizontal="center" readingOrder="0" vertical="bottom"/>
    </xf>
    <xf borderId="29" fillId="0" fontId="28" numFmtId="0" xfId="0" applyAlignment="1" applyBorder="1" applyFont="1">
      <alignment vertical="bottom"/>
    </xf>
    <xf borderId="29" fillId="0" fontId="54" numFmtId="0" xfId="0" applyAlignment="1" applyBorder="1" applyFont="1">
      <alignment horizontal="right" vertical="bottom"/>
    </xf>
    <xf borderId="29" fillId="3" fontId="28" numFmtId="169" xfId="0" applyAlignment="1" applyBorder="1" applyFont="1" applyNumberFormat="1">
      <alignment vertical="bottom"/>
    </xf>
    <xf borderId="0" fillId="0" fontId="54" numFmtId="0" xfId="0" applyAlignment="1" applyFont="1">
      <alignment shrinkToFit="0" vertical="bottom" wrapText="0"/>
    </xf>
    <xf borderId="29" fillId="3" fontId="54" numFmtId="0" xfId="0" applyAlignment="1" applyBorder="1" applyFont="1">
      <alignment horizontal="right" shrinkToFit="0" vertical="bottom" wrapText="0"/>
    </xf>
    <xf borderId="29" fillId="3" fontId="28" numFmtId="0" xfId="0" applyAlignment="1" applyBorder="1" applyFont="1">
      <alignment vertical="bottom"/>
    </xf>
    <xf borderId="0" fillId="26" fontId="132" numFmtId="0" xfId="0" applyAlignment="1" applyFont="1">
      <alignment vertical="bottom"/>
    </xf>
    <xf borderId="0" fillId="0" fontId="54" numFmtId="0" xfId="0" applyAlignment="1" applyFont="1">
      <alignment horizontal="center" shrinkToFit="0" vertical="bottom" wrapText="0"/>
    </xf>
    <xf borderId="29" fillId="3" fontId="54" numFmtId="169" xfId="0" applyAlignment="1" applyBorder="1" applyFont="1" applyNumberFormat="1">
      <alignment horizontal="center" shrinkToFit="0" vertical="bottom" wrapText="0"/>
    </xf>
    <xf borderId="1" fillId="8" fontId="54" numFmtId="0" xfId="0" applyAlignment="1" applyBorder="1" applyFont="1">
      <alignment horizontal="center" readingOrder="0" shrinkToFit="0" vertical="bottom" wrapText="0"/>
    </xf>
    <xf borderId="1" fillId="8" fontId="54" numFmtId="0" xfId="0" applyAlignment="1" applyBorder="1" applyFont="1">
      <alignment horizontal="center" shrinkToFit="0" vertical="bottom" wrapText="0"/>
    </xf>
    <xf borderId="29" fillId="8" fontId="28" numFmtId="169" xfId="0" applyAlignment="1" applyBorder="1" applyFont="1" applyNumberFormat="1">
      <alignment vertical="bottom"/>
    </xf>
    <xf borderId="29" fillId="8" fontId="54" numFmtId="169" xfId="0" applyAlignment="1" applyBorder="1" applyFont="1" applyNumberFormat="1">
      <alignment horizontal="center" shrinkToFit="0" vertical="bottom" wrapText="0"/>
    </xf>
    <xf borderId="29" fillId="8" fontId="28" numFmtId="0" xfId="0" applyAlignment="1" applyBorder="1" applyFont="1">
      <alignment vertical="bottom"/>
    </xf>
    <xf borderId="29" fillId="8" fontId="54" numFmtId="0" xfId="0" applyAlignment="1" applyBorder="1" applyFont="1">
      <alignment horizontal="center" shrinkToFit="0" vertical="bottom" wrapText="0"/>
    </xf>
    <xf borderId="0" fillId="8" fontId="54" numFmtId="0" xfId="0" applyAlignment="1" applyFont="1">
      <alignment shrinkToFit="0" vertical="bottom" wrapText="0"/>
    </xf>
    <xf borderId="5" fillId="8" fontId="54" numFmtId="0" xfId="0" applyAlignment="1" applyBorder="1" applyFont="1">
      <alignment shrinkToFit="0" vertical="bottom" wrapText="0"/>
    </xf>
    <xf borderId="29" fillId="8" fontId="54" numFmtId="0" xfId="0" applyAlignment="1" applyBorder="1" applyFont="1">
      <alignment shrinkToFit="0" vertical="bottom" wrapText="0"/>
    </xf>
    <xf borderId="2" fillId="8" fontId="54" numFmtId="169" xfId="0" applyAlignment="1" applyBorder="1" applyFont="1" applyNumberFormat="1">
      <alignment horizontal="center" shrinkToFit="0" vertical="bottom" wrapText="0"/>
    </xf>
    <xf borderId="2" fillId="8" fontId="28" numFmtId="0" xfId="0" applyAlignment="1" applyBorder="1" applyFont="1">
      <alignment vertical="bottom"/>
    </xf>
    <xf borderId="2" fillId="8" fontId="54" numFmtId="0" xfId="0" applyAlignment="1" applyBorder="1" applyFont="1">
      <alignment horizontal="center" shrinkToFit="0" vertical="bottom" wrapText="0"/>
    </xf>
    <xf borderId="2" fillId="8" fontId="28" numFmtId="169" xfId="0" applyAlignment="1" applyBorder="1" applyFont="1" applyNumberFormat="1">
      <alignment vertical="bottom"/>
    </xf>
    <xf borderId="2" fillId="8" fontId="54" numFmtId="0" xfId="0" applyAlignment="1" applyBorder="1" applyFont="1">
      <alignment shrinkToFit="0" vertical="bottom" wrapText="0"/>
    </xf>
    <xf borderId="3" fillId="8" fontId="54" numFmtId="0" xfId="0" applyAlignment="1" applyBorder="1" applyFont="1">
      <alignment horizontal="center" shrinkToFit="0" vertical="bottom" wrapText="0"/>
    </xf>
    <xf borderId="11" fillId="8" fontId="54" numFmtId="0" xfId="0" applyAlignment="1" applyBorder="1" applyFont="1">
      <alignment horizontal="center" readingOrder="0" shrinkToFit="0" vertical="bottom" wrapText="0"/>
    </xf>
    <xf borderId="10" fillId="8" fontId="28" numFmtId="169" xfId="0" applyAlignment="1" applyBorder="1" applyFont="1" applyNumberFormat="1">
      <alignment vertical="bottom"/>
    </xf>
    <xf borderId="10" fillId="8" fontId="54" numFmtId="169" xfId="0" applyAlignment="1" applyBorder="1" applyFont="1" applyNumberFormat="1">
      <alignment horizontal="center" shrinkToFit="0" vertical="bottom" wrapText="0"/>
    </xf>
    <xf borderId="10" fillId="8" fontId="28" numFmtId="0" xfId="0" applyAlignment="1" applyBorder="1" applyFont="1">
      <alignment vertical="bottom"/>
    </xf>
    <xf borderId="10" fillId="8" fontId="54" numFmtId="0" xfId="0" applyAlignment="1" applyBorder="1" applyFont="1">
      <alignment horizontal="center" shrinkToFit="0" vertical="bottom" wrapText="0"/>
    </xf>
    <xf borderId="10" fillId="8" fontId="54" numFmtId="0" xfId="0" applyAlignment="1" applyBorder="1" applyFont="1">
      <alignment shrinkToFit="0" vertical="bottom" wrapText="0"/>
    </xf>
    <xf borderId="11" fillId="8" fontId="54" numFmtId="0" xfId="0" applyAlignment="1" applyBorder="1" applyFont="1">
      <alignment horizontal="center" shrinkToFit="0" vertical="bottom" wrapText="0"/>
    </xf>
    <xf borderId="11" fillId="8" fontId="54" numFmtId="0" xfId="0" applyAlignment="1" applyBorder="1" applyFont="1">
      <alignment horizontal="center" readingOrder="0" vertical="bottom"/>
    </xf>
    <xf borderId="133" fillId="8" fontId="28" numFmtId="169" xfId="0" applyAlignment="1" applyBorder="1" applyFont="1" applyNumberFormat="1">
      <alignment vertical="bottom"/>
    </xf>
    <xf borderId="8" fillId="0" fontId="4" numFmtId="0" xfId="0" applyBorder="1" applyFont="1"/>
    <xf borderId="0" fillId="0" fontId="4" numFmtId="0" xfId="0" applyFont="1"/>
    <xf borderId="0" fillId="0" fontId="4" numFmtId="0" xfId="0" applyAlignment="1" applyFont="1">
      <alignment readingOrder="0"/>
    </xf>
    <xf borderId="0" fillId="30" fontId="4" numFmtId="0" xfId="0" applyAlignment="1" applyFont="1">
      <alignment readingOrder="0"/>
    </xf>
    <xf borderId="0" fillId="25" fontId="4" numFmtId="0" xfId="0" applyAlignment="1" applyFont="1">
      <alignment horizontal="center"/>
    </xf>
    <xf borderId="0" fillId="36" fontId="4" numFmtId="0" xfId="0" applyAlignment="1" applyFill="1" applyFont="1">
      <alignment readingOrder="0"/>
    </xf>
    <xf borderId="0" fillId="8" fontId="4" numFmtId="0" xfId="0" applyAlignment="1" applyFont="1">
      <alignment readingOrder="0"/>
    </xf>
    <xf borderId="0" fillId="8" fontId="4" numFmtId="0" xfId="0" applyFont="1"/>
    <xf borderId="0" fillId="0" fontId="4" numFmtId="0" xfId="0" applyAlignment="1" applyFont="1">
      <alignment readingOrder="0" shrinkToFit="0" wrapText="1"/>
    </xf>
    <xf borderId="4" fillId="0" fontId="4" numFmtId="0" xfId="0" applyAlignment="1" applyBorder="1" applyFont="1">
      <alignment readingOrder="0" shrinkToFit="0" vertical="top" wrapText="1"/>
    </xf>
    <xf borderId="5" fillId="0" fontId="4" numFmtId="0" xfId="0" applyAlignment="1" applyBorder="1" applyFont="1">
      <alignment readingOrder="0" shrinkToFit="0" vertical="top" wrapText="1"/>
    </xf>
    <xf borderId="6" fillId="0" fontId="4" numFmtId="0" xfId="0" applyAlignment="1" applyBorder="1" applyFont="1">
      <alignment readingOrder="0" shrinkToFit="0" vertical="top" wrapText="1"/>
    </xf>
    <xf borderId="0" fillId="36" fontId="4" numFmtId="0" xfId="0" applyFont="1"/>
    <xf borderId="7" fillId="0" fontId="4" numFmtId="0" xfId="0" applyAlignment="1" applyBorder="1" applyFont="1">
      <alignment readingOrder="0" shrinkToFit="0" vertical="top" wrapText="1"/>
    </xf>
    <xf borderId="0" fillId="0" fontId="4" numFmtId="0" xfId="0" applyAlignment="1" applyFont="1">
      <alignment readingOrder="0" shrinkToFit="0" vertical="top" wrapText="1"/>
    </xf>
    <xf borderId="8" fillId="0" fontId="4" numFmtId="0" xfId="0" applyAlignment="1" applyBorder="1" applyFont="1">
      <alignment readingOrder="0" shrinkToFit="0" vertical="top" wrapText="1"/>
    </xf>
    <xf borderId="0" fillId="29" fontId="4" numFmtId="0" xfId="0" applyAlignment="1" applyFont="1">
      <alignment readingOrder="0"/>
    </xf>
    <xf borderId="0" fillId="37" fontId="4" numFmtId="0" xfId="0" applyAlignment="1" applyFill="1" applyFont="1">
      <alignment horizontal="center"/>
    </xf>
    <xf borderId="0" fillId="38" fontId="4" numFmtId="0" xfId="0" applyFill="1" applyFont="1"/>
    <xf borderId="5" fillId="39" fontId="4" numFmtId="0" xfId="0" applyAlignment="1" applyBorder="1" applyFill="1" applyFont="1">
      <alignment readingOrder="0"/>
    </xf>
    <xf borderId="0" fillId="40" fontId="4" numFmtId="0" xfId="0" applyAlignment="1" applyFill="1" applyFont="1">
      <alignment horizontal="center"/>
    </xf>
    <xf borderId="0" fillId="41" fontId="4" numFmtId="0" xfId="0" applyAlignment="1" applyFill="1" applyFont="1">
      <alignment readingOrder="0"/>
    </xf>
    <xf borderId="0" fillId="42" fontId="4" numFmtId="0" xfId="0" applyAlignment="1" applyFill="1" applyFont="1">
      <alignment readingOrder="0"/>
    </xf>
    <xf borderId="0" fillId="39" fontId="4" numFmtId="0" xfId="0" applyAlignment="1" applyFont="1">
      <alignment readingOrder="0"/>
    </xf>
    <xf borderId="0" fillId="40" fontId="4" numFmtId="0" xfId="0" applyAlignment="1" applyFont="1">
      <alignment horizontal="center" readingOrder="0"/>
    </xf>
    <xf borderId="0" fillId="43" fontId="4" numFmtId="0" xfId="0" applyAlignment="1" applyFill="1" applyFont="1">
      <alignment readingOrder="0"/>
    </xf>
    <xf borderId="0" fillId="11" fontId="4" numFmtId="0" xfId="0" applyAlignment="1" applyFont="1">
      <alignment horizontal="center" readingOrder="0"/>
    </xf>
    <xf borderId="0" fillId="14" fontId="4" numFmtId="0" xfId="0" applyAlignment="1" applyFont="1">
      <alignment readingOrder="0"/>
    </xf>
    <xf borderId="9" fillId="0" fontId="4" numFmtId="0" xfId="0" applyAlignment="1" applyBorder="1" applyFont="1">
      <alignment readingOrder="0" shrinkToFit="0" vertical="top" wrapText="1"/>
    </xf>
    <xf borderId="11" fillId="0" fontId="4" numFmtId="0" xfId="0" applyAlignment="1" applyBorder="1" applyFont="1">
      <alignment readingOrder="0" shrinkToFit="0" vertical="top" wrapText="1"/>
    </xf>
    <xf borderId="10" fillId="0" fontId="4" numFmtId="0" xfId="0" applyAlignment="1" applyBorder="1" applyFont="1">
      <alignment readingOrder="0" shrinkToFit="0" vertical="top" wrapText="1"/>
    </xf>
    <xf borderId="5" fillId="44" fontId="133" numFmtId="0" xfId="0" applyAlignment="1" applyBorder="1" applyFill="1" applyFont="1">
      <alignment readingOrder="0" vertical="center"/>
    </xf>
    <xf borderId="0" fillId="45" fontId="4" numFmtId="0" xfId="0" applyAlignment="1" applyFill="1" applyFont="1">
      <alignment horizontal="center"/>
    </xf>
    <xf borderId="0" fillId="46" fontId="4" numFmtId="0" xfId="0" applyFill="1" applyFont="1"/>
    <xf borderId="0" fillId="44" fontId="133" numFmtId="0" xfId="0" applyAlignment="1" applyFont="1">
      <alignment readingOrder="0" vertical="center"/>
    </xf>
    <xf borderId="0" fillId="44" fontId="133" numFmtId="0" xfId="0" applyAlignment="1" applyFont="1">
      <alignment horizontal="left" readingOrder="0" vertical="center"/>
    </xf>
    <xf borderId="0" fillId="44" fontId="133" numFmtId="0" xfId="0" applyAlignment="1" applyFont="1">
      <alignment vertical="center"/>
    </xf>
    <xf borderId="11" fillId="47" fontId="134" numFmtId="0" xfId="0" applyAlignment="1" applyBorder="1" applyFill="1" applyFont="1">
      <alignment readingOrder="0"/>
    </xf>
    <xf borderId="0" fillId="12" fontId="4" numFmtId="0" xfId="0" applyAlignment="1" applyFont="1">
      <alignment horizontal="center"/>
    </xf>
    <xf borderId="0" fillId="15" fontId="4" numFmtId="0" xfId="0" applyFont="1"/>
    <xf borderId="0" fillId="31" fontId="4" numFmtId="0" xfId="0" applyAlignment="1" applyFont="1">
      <alignment readingOrder="0"/>
    </xf>
    <xf borderId="0" fillId="10" fontId="4" numFmtId="0" xfId="0" applyAlignment="1" applyFont="1">
      <alignment horizontal="center"/>
    </xf>
    <xf borderId="0" fillId="13" fontId="4" numFmtId="0" xfId="0" applyFont="1"/>
    <xf borderId="0" fillId="13" fontId="4" numFmtId="0" xfId="0" applyAlignment="1" applyFont="1">
      <alignment readingOrder="0"/>
    </xf>
    <xf borderId="0" fillId="34" fontId="4" numFmtId="0" xfId="0" applyAlignment="1" applyFont="1">
      <alignment readingOrder="0"/>
    </xf>
    <xf borderId="0" fillId="9" fontId="4" numFmtId="0" xfId="0" applyAlignment="1" applyFont="1">
      <alignment horizontal="center"/>
    </xf>
    <xf borderId="0" fillId="5" fontId="4" numFmtId="0" xfId="0" applyAlignment="1" applyFont="1">
      <alignment readingOrder="0"/>
    </xf>
  </cellXfs>
  <cellStyles count="1">
    <cellStyle xfId="0" name="Normal" builtinId="0"/>
  </cellStyles>
  <dxfs count="10">
    <dxf>
      <font/>
      <fill>
        <patternFill patternType="none"/>
      </fill>
      <border/>
    </dxf>
    <dxf>
      <font/>
      <fill>
        <patternFill patternType="solid">
          <fgColor rgb="FF9FC5E8"/>
          <bgColor rgb="FF9FC5E8"/>
        </patternFill>
      </fill>
      <border/>
    </dxf>
    <dxf>
      <font/>
      <fill>
        <patternFill patternType="solid">
          <fgColor rgb="FF999999"/>
          <bgColor rgb="FF999999"/>
        </patternFill>
      </fill>
      <border/>
    </dxf>
    <dxf>
      <font/>
      <fill>
        <patternFill patternType="solid">
          <fgColor rgb="FFF1C232"/>
          <bgColor rgb="FFF1C232"/>
        </patternFill>
      </fill>
      <border/>
    </dxf>
    <dxf>
      <font/>
      <fill>
        <patternFill patternType="solid">
          <fgColor rgb="FF666666"/>
          <bgColor rgb="FF666666"/>
        </patternFill>
      </fill>
      <border/>
    </dxf>
    <dxf>
      <font/>
      <fill>
        <patternFill patternType="solid">
          <fgColor rgb="FFCCCCCC"/>
          <bgColor rgb="FFCCCCCC"/>
        </patternFill>
      </fill>
      <border/>
    </dxf>
    <dxf>
      <font/>
      <fill>
        <patternFill patternType="solid">
          <fgColor rgb="FF434343"/>
          <bgColor rgb="FF434343"/>
        </patternFill>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0">
    <tableStyle count="2" pivot="0" name="Registro e Inventário-style">
      <tableStyleElement dxfId="4" type="firstRowStripe"/>
      <tableStyleElement dxfId="5" type="secondRowStripe"/>
    </tableStyle>
    <tableStyle count="3" pivot="0" name="Registro e Inventário-style 2">
      <tableStyleElement dxfId="6" type="headerRow"/>
      <tableStyleElement dxfId="5" type="firstRowStripe"/>
      <tableStyleElement dxfId="4" type="secondRowStripe"/>
    </tableStyle>
    <tableStyle count="3" pivot="0" name="Jutsus-style">
      <tableStyleElement dxfId="7" type="headerRow"/>
      <tableStyleElement dxfId="8" type="firstRowStripe"/>
      <tableStyleElement dxfId="9" type="secondRowStripe"/>
    </tableStyle>
    <tableStyle count="3" pivot="0" name="Jutsus-style 2">
      <tableStyleElement dxfId="7" type="headerRow"/>
      <tableStyleElement dxfId="8" type="firstRowStripe"/>
      <tableStyleElement dxfId="9" type="secondRowStripe"/>
    </tableStyle>
    <tableStyle count="3" pivot="0" name="Jutsus-style 3">
      <tableStyleElement dxfId="7" type="headerRow"/>
      <tableStyleElement dxfId="8" type="firstRowStripe"/>
      <tableStyleElement dxfId="9" type="secondRowStripe"/>
    </tableStyle>
    <tableStyle count="3" pivot="0" name="Jutsus-style 4">
      <tableStyleElement dxfId="7" type="headerRow"/>
      <tableStyleElement dxfId="8" type="firstRowStripe"/>
      <tableStyleElement dxfId="9" type="secondRowStripe"/>
    </tableStyle>
    <tableStyle count="3" pivot="0" name="Jutsus-style 5">
      <tableStyleElement dxfId="7" type="headerRow"/>
      <tableStyleElement dxfId="8" type="firstRowStripe"/>
      <tableStyleElement dxfId="9" type="secondRowStripe"/>
    </tableStyle>
    <tableStyle count="3" pivot="0" name="Jutsus-style 6">
      <tableStyleElement dxfId="7" type="headerRow"/>
      <tableStyleElement dxfId="8" type="firstRowStripe"/>
      <tableStyleElement dxfId="9" type="secondRowStripe"/>
    </tableStyle>
    <tableStyle count="3" pivot="0" name="Classe-style">
      <tableStyleElement dxfId="7" type="headerRow"/>
      <tableStyleElement dxfId="8" type="firstRowStripe"/>
      <tableStyleElement dxfId="9" type="secondRowStripe"/>
    </tableStyle>
    <tableStyle count="3" pivot="0" name="Classe-style 2">
      <tableStyleElement dxfId="7" type="headerRow"/>
      <tableStyleElement dxfId="8" type="firstRowStripe"/>
      <tableStyleElement dxfId="9" type="secondRowStripe"/>
    </tableStyle>
    <tableStyle count="3" pivot="0" name="Classe-style 3">
      <tableStyleElement dxfId="7" type="headerRow"/>
      <tableStyleElement dxfId="8" type="firstRowStripe"/>
      <tableStyleElement dxfId="9" type="secondRowStripe"/>
    </tableStyle>
    <tableStyle count="3" pivot="0" name="Classe-style 4">
      <tableStyleElement dxfId="7" type="headerRow"/>
      <tableStyleElement dxfId="8" type="firstRowStripe"/>
      <tableStyleElement dxfId="9" type="secondRowStripe"/>
    </tableStyle>
    <tableStyle count="3" pivot="0" name="Classe-style 5">
      <tableStyleElement dxfId="7" type="headerRow"/>
      <tableStyleElement dxfId="8" type="firstRowStripe"/>
      <tableStyleElement dxfId="9" type="secondRowStripe"/>
    </tableStyle>
    <tableStyle count="3" pivot="0" name="Classe-style 6">
      <tableStyleElement dxfId="7" type="headerRow"/>
      <tableStyleElement dxfId="8" type="firstRowStripe"/>
      <tableStyleElement dxfId="9" type="secondRowStripe"/>
    </tableStyle>
    <tableStyle count="3" pivot="0" name="Anotações-style">
      <tableStyleElement dxfId="7" type="headerRow"/>
      <tableStyleElement dxfId="8" type="firstRowStripe"/>
      <tableStyleElement dxfId="9" type="secondRowStripe"/>
    </tableStyle>
    <tableStyle count="3" pivot="0" name="Anotações-style 2">
      <tableStyleElement dxfId="7" type="headerRow"/>
      <tableStyleElement dxfId="8" type="firstRowStripe"/>
      <tableStyleElement dxfId="9" type="secondRowStripe"/>
    </tableStyle>
    <tableStyle count="3" pivot="0" name="Anotações-style 3">
      <tableStyleElement dxfId="7" type="headerRow"/>
      <tableStyleElement dxfId="8" type="firstRowStripe"/>
      <tableStyleElement dxfId="9" type="secondRowStripe"/>
    </tableStyle>
    <tableStyle count="3" pivot="0" name="Anotações-style 4">
      <tableStyleElement dxfId="7" type="headerRow"/>
      <tableStyleElement dxfId="8" type="firstRowStripe"/>
      <tableStyleElement dxfId="9" type="secondRowStripe"/>
    </tableStyle>
    <tableStyle count="3" pivot="0" name="Anotações-style 5">
      <tableStyleElement dxfId="7" type="headerRow"/>
      <tableStyleElement dxfId="8" type="firstRowStripe"/>
      <tableStyleElement dxfId="9" type="secondRowStripe"/>
    </tableStyle>
    <tableStyle count="3" pivot="0" name="Anotações-style 6">
      <tableStyleElement dxfId="7" type="headerRow"/>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J32:AN32" displayName="Table_1" name="Table_1" id="1">
  <tableColumns count="5">
    <tableColumn name="Column1" id="1"/>
    <tableColumn name="Column2" id="2"/>
    <tableColumn name="Column3" id="3"/>
    <tableColumn name="Column4" id="4"/>
    <tableColumn name="Column5" id="5"/>
  </tableColumns>
  <tableStyleInfo name="Registro e Inventário-style" showColumnStripes="0" showFirstColumn="1" showLastColumn="1" showRowStripes="1"/>
</table>
</file>

<file path=xl/tables/table2.xml><?xml version="1.0" encoding="utf-8"?>
<table xmlns="http://schemas.openxmlformats.org/spreadsheetml/2006/main" headerRowCount="0" ref="AR48:AV49" displayName="Table_2" name="Table_2" id="2">
  <tableColumns count="5">
    <tableColumn name="Column1" id="1"/>
    <tableColumn name="Column2" id="2"/>
    <tableColumn name="Column3" id="3"/>
    <tableColumn name="Column4" id="4"/>
    <tableColumn name="Column5" id="5"/>
  </tableColumns>
  <tableStyleInfo name="Registro e Inventário-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B75:M85"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Jutsus-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O75:Z85" displayName="Table_4" name="Table_4" id="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Jutsus-style 2"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B75:AM85" displayName="Table_5" name="Table_5" id="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Jutsus-style 3"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B87:M97" displayName="Table_6" name="Table_6" id="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Jutsus-style 4"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O87:Z97" displayName="Table_7" name="Table_7" id="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Jutsus-style 5"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B87:AM97" displayName="Table_8" name="Table_8" id="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Jutsus-style 6"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B36:M36" displayName="Table_9" name="Table_9" id="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Classe-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O36:Z36" displayName="Table_10" name="Table_10" id="1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Classe-style 2"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B36:AM36" displayName="Table_11" name="Table_11" id="1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Classe-style 3"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B38:M48" displayName="Table_12" name="Table_12" id="1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Classe-style 4"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O38:Z48" displayName="Table_13" name="Table_13" id="1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Classe-style 5"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B38:AM48" displayName="Table_14" name="Table_14" id="1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Classe-style 6"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B62:M72" displayName="Table_15" name="Table_15" id="1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Anotações-style"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O62:Z72" displayName="Table_16" name="Table_16" id="1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Anotações-style 2"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B62:AM72" displayName="Table_17" name="Table_17" id="1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Anotações-style 3"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B74:M84" displayName="Table_18" name="Table_18" id="1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Anotações-style 4"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O74:Z84" displayName="Table_19" name="Table_19" id="1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Anotações-style 5"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AB74:AM84" displayName="Table_20" name="Table_20" id="2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Anotações-style 6"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open?id=1D8AbT31_ytUXHtVu6HB9epYwMfqkVbSU" TargetMode="External"/><Relationship Id="rId3" Type="http://schemas.openxmlformats.org/officeDocument/2006/relationships/hyperlink" Target="https://drive.google.com/open?id=1GGPF-9YpJzmHMcvjDQJ0XFG5jPNgUCWz" TargetMode="External"/><Relationship Id="rId4" Type="http://schemas.openxmlformats.org/officeDocument/2006/relationships/hyperlink" Target="https://drive.google.com/open?id=1SW4nkJtVJRdOrASyagx7hCv5mSu_w3fx" TargetMode="External"/><Relationship Id="rId5" Type="http://schemas.openxmlformats.org/officeDocument/2006/relationships/hyperlink" Target="https://drive.google.com/open?id=1ukV7u1d70vC97Sg49MuV11-8woSbw46r" TargetMode="External"/><Relationship Id="rId6" Type="http://schemas.openxmlformats.org/officeDocument/2006/relationships/hyperlink" Target="https://drive.google.com/open?id=1qdCBmjZJDXv8QZEsqNv6TYEtMuSP3fDZ"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6" Type="http://schemas.openxmlformats.org/officeDocument/2006/relationships/table" Target="../tables/table1.x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15" Type="http://schemas.openxmlformats.org/officeDocument/2006/relationships/table" Target="../tables/table8.xml"/><Relationship Id="rId14"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12.xml"/><Relationship Id="rId10" Type="http://schemas.openxmlformats.org/officeDocument/2006/relationships/table" Target="../tables/table11.xml"/><Relationship Id="rId13" Type="http://schemas.openxmlformats.org/officeDocument/2006/relationships/table" Target="../tables/table14.xml"/><Relationship Id="rId12" Type="http://schemas.openxmlformats.org/officeDocument/2006/relationships/table" Target="../tables/table13.xml"/><Relationship Id="rId9" Type="http://schemas.openxmlformats.org/officeDocument/2006/relationships/table" Target="../tables/table10.xml"/><Relationship Id="rId8"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9" Type="http://schemas.openxmlformats.org/officeDocument/2006/relationships/table" Target="../tables/table16.xml"/><Relationship Id="rId8" Type="http://schemas.openxmlformats.org/officeDocument/2006/relationships/table" Target="../tables/table15.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40" Type="http://schemas.openxmlformats.org/officeDocument/2006/relationships/hyperlink" Target="https://media.discordapp.net/attachments/935612107502809149/1001686833152921690/unknown.png?width=474&amp;height=473" TargetMode="External"/><Relationship Id="rId42" Type="http://schemas.openxmlformats.org/officeDocument/2006/relationships/hyperlink" Target="https://media.discordapp.net/attachments/935612107502809149/1001687244551225404/unknown.png" TargetMode="External"/><Relationship Id="rId41" Type="http://schemas.openxmlformats.org/officeDocument/2006/relationships/hyperlink" Target="https://cdn.discordapp.com/attachments/935612107502809149/1001688766651584512/unknown.png" TargetMode="External"/><Relationship Id="rId44" Type="http://schemas.openxmlformats.org/officeDocument/2006/relationships/hyperlink" Target="https://media.discordapp.net/attachments/935612107502809149/1001688995421503568/unknown.png" TargetMode="External"/><Relationship Id="rId43" Type="http://schemas.openxmlformats.org/officeDocument/2006/relationships/hyperlink" Target="https://cdn.discordapp.com/attachments/935612107502809149/1001688766651584512/unknown.png" TargetMode="External"/><Relationship Id="rId46" Type="http://schemas.openxmlformats.org/officeDocument/2006/relationships/hyperlink" Target="https://media.discordapp.net/attachments/935612107502809149/1001689320672989234/unknown.png?width=473&amp;height=473" TargetMode="External"/><Relationship Id="rId45" Type="http://schemas.openxmlformats.org/officeDocument/2006/relationships/hyperlink" Target="https://media.discordapp.net/attachments/935612107502809149/1001689153827766312/unknown.png" TargetMode="External"/><Relationship Id="rId1" Type="http://schemas.openxmlformats.org/officeDocument/2006/relationships/comments" Target="../comments5.xml"/><Relationship Id="rId2" Type="http://schemas.openxmlformats.org/officeDocument/2006/relationships/hyperlink" Target="https://static.wikia.nocookie.net/ninja-encyclopedia/images/8/8e/Akimichi_Symbol.svg.png/revision/latest/scale-to-width-down/250?cb=20091220222134" TargetMode="External"/><Relationship Id="rId3" Type="http://schemas.openxmlformats.org/officeDocument/2006/relationships/hyperlink" Target="https://cdn.discordapp.com/attachments/786665752492900396/810946356490928158/Kekkai_Genkai_Explosion.png" TargetMode="External"/><Relationship Id="rId4" Type="http://schemas.openxmlformats.org/officeDocument/2006/relationships/hyperlink" Target="https://static.wikia.nocookie.net/erashinobionline/images/e/e1/200px-F%C5%ABma_Symbol.svg.png/revision/latest/scale-to-width-down/180?cb=20130427013453" TargetMode="External"/><Relationship Id="rId9" Type="http://schemas.openxmlformats.org/officeDocument/2006/relationships/hyperlink" Target="https://static.wikia.nocookie.net/naruto/images/9/9b/H%C5%8Dzuki_Symbol.svg/revision/latest/scale-to-width-down/200?cb=20110114133308" TargetMode="External"/><Relationship Id="rId48" Type="http://schemas.openxmlformats.org/officeDocument/2006/relationships/hyperlink" Target="https://media.discordapp.net/attachments/913902714419830845/914025475821686824/Lowclass_Symbol.png" TargetMode="External"/><Relationship Id="rId47" Type="http://schemas.openxmlformats.org/officeDocument/2006/relationships/hyperlink" Target="https://media.discordapp.net/attachments/935612107502809149/1001689600756023316/229212.png?width=473&amp;height=473" TargetMode="External"/><Relationship Id="rId49" Type="http://schemas.openxmlformats.org/officeDocument/2006/relationships/hyperlink" Target="https://media.discordapp.net/attachments/935612107502809149/1001690892945596496/kisspng-sengoku-period-tokugawa-shogunate-oda-clan-mon-tak-5af52e8c05d6d9.2093698315260176760239.png" TargetMode="External"/><Relationship Id="rId5" Type="http://schemas.openxmlformats.org/officeDocument/2006/relationships/hyperlink" Target="https://cdn.discordapp.com/attachments/786665752492900396/810946341001101372/Kekkai_Genkai_Boil.png" TargetMode="External"/><Relationship Id="rId6" Type="http://schemas.openxmlformats.org/officeDocument/2006/relationships/hyperlink" Target="https://static.wikia.nocookie.net/naruto/images/a/ac/Hatake_Symbol.svg/revision/latest/scale-to-width-down/200?cb=20150509210734" TargetMode="External"/><Relationship Id="rId7" Type="http://schemas.openxmlformats.org/officeDocument/2006/relationships/hyperlink" Target="https://media.istockphoto.com/vectors/ancient-occult-alchemical-symbol-snake-eating-tail-ouroboros-vector-id1225389312?k=6&amp;m=1225389312&amp;s=612x612&amp;w=0&amp;h=SEZ-2UIg4GhmutmOHK8E8qhE3po4nzkISZ8qiQkTKI4=" TargetMode="External"/><Relationship Id="rId8" Type="http://schemas.openxmlformats.org/officeDocument/2006/relationships/hyperlink" Target="https://static.wikia.nocookie.net/nnerp/images/e/e3/Hoshigaki.png/revision/latest/scale-to-width-down/340?cb=20140617004836" TargetMode="External"/><Relationship Id="rId31" Type="http://schemas.openxmlformats.org/officeDocument/2006/relationships/hyperlink" Target="https://cdn.discordapp.com/attachments/786665752492900396/810946372114448435/Kekkai_Genkai_Ice.png" TargetMode="External"/><Relationship Id="rId30" Type="http://schemas.openxmlformats.org/officeDocument/2006/relationships/hyperlink" Target="https://cdn.discordapp.com/attachments/786665752492900396/810946391093280838/Kekkai_Genkai_Lava.png" TargetMode="External"/><Relationship Id="rId33" Type="http://schemas.openxmlformats.org/officeDocument/2006/relationships/hyperlink" Target="https://media.discordapp.net/attachments/935612107502809149/1001686124579790928/unknown.png" TargetMode="External"/><Relationship Id="rId32" Type="http://schemas.openxmlformats.org/officeDocument/2006/relationships/hyperlink" Target="https://media.discordapp.net/attachments/935613753775493180/1001678080714227763/unknown.png" TargetMode="External"/><Relationship Id="rId35" Type="http://schemas.openxmlformats.org/officeDocument/2006/relationships/hyperlink" Target="https://media.discordapp.net/attachments/935611852732379218/1001678244350799982/unknown.png?width=295&amp;height=473" TargetMode="External"/><Relationship Id="rId34" Type="http://schemas.openxmlformats.org/officeDocument/2006/relationships/hyperlink" Target="https://images-ext-2.discordapp.net/external/FNpGRdH0GpKkNjzRyBuoaTf9SUGKDbczL95fb3D7hf0/https/media.discordapp.net/attachments/935710732132184065/967301407487176714/Hakaiton_Symbol.png" TargetMode="External"/><Relationship Id="rId37" Type="http://schemas.openxmlformats.org/officeDocument/2006/relationships/hyperlink" Target="https://media.discordapp.net/attachments/935611852732379218/959479240808607824/unknown.png" TargetMode="External"/><Relationship Id="rId36" Type="http://schemas.openxmlformats.org/officeDocument/2006/relationships/hyperlink" Target="https://media.discordapp.net/attachments/310627186749210625/960279191616647208/unknown.png" TargetMode="External"/><Relationship Id="rId39" Type="http://schemas.openxmlformats.org/officeDocument/2006/relationships/hyperlink" Target="https://media.discordapp.net/attachments/935710732132184065/978776892347912203/unknown.png" TargetMode="External"/><Relationship Id="rId38" Type="http://schemas.openxmlformats.org/officeDocument/2006/relationships/hyperlink" Target="https://media.discordapp.net/attachments/935611852732379218/969705396233207869/unknown.png" TargetMode="External"/><Relationship Id="rId20" Type="http://schemas.openxmlformats.org/officeDocument/2006/relationships/hyperlink" Target="https://banner.uclipart.com/20200111/wwk/dragon-black-and-white-silhouette.png" TargetMode="External"/><Relationship Id="rId22" Type="http://schemas.openxmlformats.org/officeDocument/2006/relationships/hyperlink" Target="https://cdn.discordapp.com/attachments/786665752492900396/810946467988242432/Kekkai_Genkai_Wood.png" TargetMode="External"/><Relationship Id="rId21" Type="http://schemas.openxmlformats.org/officeDocument/2006/relationships/hyperlink" Target="https://static.wikia.nocookie.net/naruto/images/f/fb/Sarutobi_Symbol.svg/revision/latest/scale-to-width-down/200?cb=20150802153808" TargetMode="External"/><Relationship Id="rId24" Type="http://schemas.openxmlformats.org/officeDocument/2006/relationships/hyperlink" Target="https://cdn4.iconfinder.com/data/icons/origami-paper-animals/100/origami-01-512.png" TargetMode="External"/><Relationship Id="rId23" Type="http://schemas.openxmlformats.org/officeDocument/2006/relationships/hyperlink" Target="https://cdn.discordapp.com/attachments/786665752492900396/810946421787328602/Kekkai_Genkai_Scorch.png" TargetMode="External"/><Relationship Id="rId26" Type="http://schemas.openxmlformats.org/officeDocument/2006/relationships/hyperlink" Target="https://static.wikia.nocookie.net/naruto/images/0/09/Tsuchigumo_Symbol.svg/revision/latest/scale-to-width-down/150?cb=20100714212105" TargetMode="External"/><Relationship Id="rId25" Type="http://schemas.openxmlformats.org/officeDocument/2006/relationships/hyperlink" Target="https://cdn.discordapp.com/attachments/866333262266630154/886806671022755850/250.png" TargetMode="External"/><Relationship Id="rId28" Type="http://schemas.openxmlformats.org/officeDocument/2006/relationships/hyperlink" Target="https://static.wikia.nocookie.net/naruto/images/8/89/Uzumaki_Symbol.svg/revision/latest/scale-to-width-down/200?cb=20180407232103" TargetMode="External"/><Relationship Id="rId27" Type="http://schemas.openxmlformats.org/officeDocument/2006/relationships/hyperlink" Target="https://cdn.discordapp.com/attachments/786665752492900396/810946797459603506/SHARINGAN.png" TargetMode="External"/><Relationship Id="rId29" Type="http://schemas.openxmlformats.org/officeDocument/2006/relationships/hyperlink" Target="https://static.wikia.nocookie.net/naruto/images/c/c9/Yamanaka_Symbol.svg/revision/latest/scale-to-width-down/200?cb=20110330225003" TargetMode="External"/><Relationship Id="rId51" Type="http://schemas.openxmlformats.org/officeDocument/2006/relationships/vmlDrawing" Target="../drawings/vmlDrawing5.vml"/><Relationship Id="rId50" Type="http://schemas.openxmlformats.org/officeDocument/2006/relationships/drawing" Target="../drawings/drawing8.xml"/><Relationship Id="rId11" Type="http://schemas.openxmlformats.org/officeDocument/2006/relationships/hyperlink" Target="https://cdn.discordapp.com/attachments/786665752492900396/810946406823100476/Kekkai_Genkai_Magnet.png" TargetMode="External"/><Relationship Id="rId10" Type="http://schemas.openxmlformats.org/officeDocument/2006/relationships/hyperlink" Target="https://cdn.discordapp.com/attachments/786665752492900396/810946757000822804/Byakugan.png" TargetMode="External"/><Relationship Id="rId13" Type="http://schemas.openxmlformats.org/officeDocument/2006/relationships/hyperlink" Target="https://media.discordapp.net/attachments/786665752492900396/810946561642987580/Kaguya.png" TargetMode="External"/><Relationship Id="rId12" Type="http://schemas.openxmlformats.org/officeDocument/2006/relationships/hyperlink" Target="https://static.wikia.nocookie.net/naruto/images/6/61/Cursed_Seal_Sasuke_%26_Anko.svg/revision/latest/scale-to-width-down/100?cb=20120408173930" TargetMode="External"/><Relationship Id="rId15" Type="http://schemas.openxmlformats.org/officeDocument/2006/relationships/hyperlink" Target="https://cdn.discordapp.com/attachments/786665752492900396/810946780686188604/Kurugan2.png" TargetMode="External"/><Relationship Id="rId14" Type="http://schemas.openxmlformats.org/officeDocument/2006/relationships/hyperlink" Target="https://static.wikia.nocookie.net/naruto/images/d/db/Kurama_Symbol.svg/revision/latest/scale-to-width-down/100?cb=20090829235615" TargetMode="External"/><Relationship Id="rId17" Type="http://schemas.openxmlformats.org/officeDocument/2006/relationships/hyperlink" Target="https://static.wikia.nocookie.net/naruto/images/d/d5/Nara_Symbol.svg/revision/latest/scale-to-width-down/200?cb=20110330225002" TargetMode="External"/><Relationship Id="rId16" Type="http://schemas.openxmlformats.org/officeDocument/2006/relationships/hyperlink" Target="https://cdn.discordapp.com/attachments/786665752492900396/810946456503844865/Kekkai_Genkai_Swift.png" TargetMode="External"/><Relationship Id="rId19" Type="http://schemas.openxmlformats.org/officeDocument/2006/relationships/hyperlink" Target="https://cdn.discordapp.com/attachments/786665752492900396/810946441883156500/Kekkai_Genkai_Storm.png" TargetMode="External"/><Relationship Id="rId18" Type="http://schemas.openxmlformats.org/officeDocument/2006/relationships/hyperlink" Target="https://static.wikia.nocookie.net/9dcccec9-642d-4824-920f-b43262d5eadc"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78" width="3.38"/>
  </cols>
  <sheetData>
    <row r="1">
      <c r="A1" s="1"/>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row>
    <row r="2">
      <c r="A2" s="3"/>
      <c r="B2" s="4" t="s">
        <v>0</v>
      </c>
      <c r="C2" s="5"/>
      <c r="D2" s="6" t="s">
        <v>1</v>
      </c>
      <c r="E2" s="7"/>
      <c r="F2" s="7"/>
      <c r="G2" s="7"/>
      <c r="H2" s="5"/>
      <c r="I2" s="3"/>
      <c r="J2" s="4" t="s">
        <v>2</v>
      </c>
      <c r="K2" s="7"/>
      <c r="L2" s="5"/>
      <c r="M2" s="6" t="s">
        <v>3</v>
      </c>
      <c r="N2" s="7"/>
      <c r="O2" s="7"/>
      <c r="P2" s="7"/>
      <c r="Q2" s="7"/>
      <c r="R2" s="7"/>
      <c r="S2" s="7"/>
      <c r="T2" s="5"/>
      <c r="V2" s="8" t="s">
        <v>4</v>
      </c>
      <c r="W2" s="5"/>
      <c r="X2" s="8" t="s">
        <v>5</v>
      </c>
      <c r="Y2" s="5"/>
      <c r="AB2" s="9"/>
      <c r="AF2" s="10"/>
      <c r="AG2" s="11"/>
      <c r="AH2" s="11"/>
      <c r="AI2" s="11"/>
      <c r="AJ2" s="11"/>
      <c r="AK2" s="12"/>
      <c r="AM2" s="4" t="s">
        <v>6</v>
      </c>
      <c r="AN2" s="7"/>
      <c r="AO2" s="7"/>
      <c r="AP2" s="7"/>
      <c r="AQ2" s="7"/>
      <c r="AR2" s="7"/>
      <c r="AS2" s="5"/>
      <c r="AU2" s="13"/>
      <c r="AW2" s="13"/>
      <c r="AX2" s="14"/>
      <c r="AY2" s="14"/>
      <c r="AZ2" s="14"/>
      <c r="BA2" s="14"/>
      <c r="BB2" s="14"/>
      <c r="BC2" s="14"/>
      <c r="BD2" s="14"/>
      <c r="BE2" s="14"/>
      <c r="BF2" s="14"/>
      <c r="BG2" s="14"/>
      <c r="BH2" s="14"/>
      <c r="BI2" s="14"/>
      <c r="BJ2" s="14"/>
      <c r="BK2" s="14"/>
      <c r="BL2" s="14"/>
      <c r="BM2" s="14"/>
      <c r="BN2" s="14"/>
      <c r="BO2" s="14"/>
      <c r="BP2" s="14"/>
      <c r="BQ2" s="14"/>
      <c r="BR2" s="14"/>
      <c r="BS2" s="14"/>
      <c r="BT2" s="14"/>
      <c r="BU2" s="13"/>
      <c r="BV2" s="13"/>
      <c r="BW2" s="13"/>
      <c r="BX2" s="13"/>
      <c r="BY2" s="13"/>
      <c r="BZ2" s="13"/>
    </row>
    <row r="3">
      <c r="A3" s="3"/>
      <c r="B3" s="15"/>
      <c r="C3" s="15"/>
      <c r="D3" s="3"/>
      <c r="E3" s="3"/>
      <c r="F3" s="3"/>
      <c r="G3" s="3"/>
      <c r="H3" s="3"/>
      <c r="I3" s="3"/>
      <c r="J3" s="3"/>
      <c r="K3" s="3"/>
      <c r="L3" s="3"/>
      <c r="M3" s="3"/>
      <c r="N3" s="16"/>
      <c r="O3" s="16"/>
      <c r="P3" s="16"/>
      <c r="Q3" s="16"/>
      <c r="R3" s="16"/>
      <c r="S3" s="16"/>
      <c r="T3" s="16"/>
      <c r="V3" s="17">
        <v>1.0</v>
      </c>
      <c r="W3" s="12"/>
      <c r="X3" s="17">
        <f>2+ROUNDUP(V3/3,0)</f>
        <v>3</v>
      </c>
      <c r="Y3" s="12"/>
      <c r="AB3" s="15"/>
      <c r="AF3" s="18"/>
      <c r="AK3" s="19"/>
      <c r="AM3" s="20" t="s">
        <v>7</v>
      </c>
      <c r="AN3" s="7"/>
      <c r="AO3" s="7"/>
      <c r="AP3" s="7"/>
      <c r="AQ3" s="7"/>
      <c r="AR3" s="7"/>
      <c r="AS3" s="5"/>
      <c r="AU3" s="13"/>
      <c r="AW3" s="13"/>
      <c r="AX3" s="14"/>
      <c r="AY3" s="14"/>
      <c r="AZ3" s="14"/>
      <c r="BA3" s="14"/>
      <c r="BB3" s="14"/>
      <c r="BC3" s="14"/>
      <c r="BD3" s="14"/>
      <c r="BE3" s="14"/>
      <c r="BF3" s="14"/>
      <c r="BG3" s="14"/>
      <c r="BH3" s="14"/>
      <c r="BI3" s="14"/>
      <c r="BJ3" s="14"/>
      <c r="BK3" s="14"/>
      <c r="BL3" s="14"/>
      <c r="BM3" s="14"/>
      <c r="BN3" s="14"/>
      <c r="BO3" s="14"/>
      <c r="BP3" s="14"/>
      <c r="BQ3" s="14"/>
      <c r="BR3" s="14"/>
      <c r="BS3" s="14"/>
      <c r="BT3" s="14"/>
      <c r="BU3" s="13"/>
      <c r="BV3" s="13"/>
      <c r="BW3" s="13"/>
      <c r="BX3" s="13"/>
      <c r="BY3" s="13"/>
      <c r="BZ3" s="13"/>
    </row>
    <row r="4">
      <c r="A4" s="3"/>
      <c r="B4" s="4" t="s">
        <v>8</v>
      </c>
      <c r="C4" s="5"/>
      <c r="D4" s="6" t="s">
        <v>9</v>
      </c>
      <c r="E4" s="7"/>
      <c r="F4" s="7"/>
      <c r="G4" s="7"/>
      <c r="H4" s="5"/>
      <c r="I4" s="3"/>
      <c r="J4" s="4" t="s">
        <v>10</v>
      </c>
      <c r="K4" s="7"/>
      <c r="L4" s="5"/>
      <c r="M4" s="6"/>
      <c r="N4" s="7"/>
      <c r="O4" s="7"/>
      <c r="P4" s="7"/>
      <c r="Q4" s="7"/>
      <c r="R4" s="7"/>
      <c r="S4" s="7"/>
      <c r="T4" s="5"/>
      <c r="V4" s="21"/>
      <c r="W4" s="22"/>
      <c r="X4" s="21"/>
      <c r="Y4" s="22"/>
      <c r="AB4" s="15"/>
      <c r="AF4" s="18"/>
      <c r="AK4" s="19"/>
      <c r="AM4" s="20" t="s">
        <v>11</v>
      </c>
      <c r="AN4" s="7"/>
      <c r="AO4" s="7"/>
      <c r="AP4" s="7"/>
      <c r="AQ4" s="7"/>
      <c r="AR4" s="7"/>
      <c r="AS4" s="5"/>
      <c r="AX4" s="14"/>
      <c r="AY4" s="14"/>
      <c r="AZ4" s="14"/>
      <c r="BA4" s="14"/>
      <c r="BB4" s="14"/>
      <c r="BC4" s="14"/>
      <c r="BD4" s="14"/>
      <c r="BE4" s="14"/>
      <c r="BF4" s="14"/>
      <c r="BG4" s="14"/>
      <c r="BH4" s="14"/>
      <c r="BI4" s="14"/>
      <c r="BJ4" s="14"/>
      <c r="BK4" s="14"/>
      <c r="BL4" s="14"/>
      <c r="BM4" s="14"/>
      <c r="BN4" s="14"/>
      <c r="BO4" s="14"/>
      <c r="BP4" s="14"/>
      <c r="BQ4" s="14"/>
      <c r="BR4" s="14"/>
      <c r="BS4" s="14"/>
      <c r="BT4" s="14"/>
      <c r="BU4" s="13"/>
      <c r="BV4" s="13"/>
      <c r="BW4" s="13"/>
      <c r="BX4" s="13"/>
      <c r="BY4" s="13"/>
      <c r="BZ4" s="13"/>
    </row>
    <row r="5">
      <c r="A5" s="3"/>
      <c r="B5" s="15"/>
      <c r="C5" s="3"/>
      <c r="D5" s="3"/>
      <c r="E5" s="3"/>
      <c r="F5" s="3"/>
      <c r="G5" s="3"/>
      <c r="H5" s="3"/>
      <c r="I5" s="3"/>
      <c r="J5" s="3"/>
      <c r="K5" s="3"/>
      <c r="L5" s="3"/>
      <c r="M5" s="3"/>
      <c r="N5" s="16"/>
      <c r="O5" s="16"/>
      <c r="P5" s="16"/>
      <c r="Q5" s="16"/>
      <c r="R5" s="16"/>
      <c r="S5" s="16"/>
      <c r="T5" s="16"/>
      <c r="AA5" s="23" t="s">
        <v>12</v>
      </c>
      <c r="AB5" s="11"/>
      <c r="AC5" s="11"/>
      <c r="AD5" s="12"/>
      <c r="AF5" s="18"/>
      <c r="AK5" s="19"/>
      <c r="AM5" s="20" t="s">
        <v>13</v>
      </c>
      <c r="AN5" s="7"/>
      <c r="AO5" s="7"/>
      <c r="AP5" s="7"/>
      <c r="AQ5" s="7"/>
      <c r="AR5" s="7"/>
      <c r="AS5" s="5"/>
      <c r="AX5" s="14"/>
      <c r="AY5" s="14"/>
      <c r="AZ5" s="14"/>
      <c r="BA5" s="14"/>
      <c r="BB5" s="14"/>
      <c r="BC5" s="14"/>
      <c r="BD5" s="14"/>
      <c r="BE5" s="14"/>
      <c r="BF5" s="14"/>
      <c r="BG5" s="14"/>
      <c r="BH5" s="14"/>
      <c r="BI5" s="14"/>
      <c r="BJ5" s="14"/>
      <c r="BK5" s="14"/>
      <c r="BL5" s="14"/>
      <c r="BM5" s="14"/>
      <c r="BN5" s="14"/>
      <c r="BO5" s="14"/>
      <c r="BP5" s="14"/>
      <c r="BQ5" s="14"/>
      <c r="BR5" s="14"/>
      <c r="BS5" s="14"/>
      <c r="BT5" s="14"/>
      <c r="BU5" s="13"/>
      <c r="BV5" s="13"/>
      <c r="BW5" s="13"/>
      <c r="BX5" s="13"/>
      <c r="BY5" s="13"/>
      <c r="BZ5" s="13"/>
    </row>
    <row r="6">
      <c r="A6" s="24"/>
      <c r="B6" s="4" t="s">
        <v>14</v>
      </c>
      <c r="C6" s="5"/>
      <c r="D6" s="25"/>
      <c r="E6" s="7"/>
      <c r="F6" s="7"/>
      <c r="G6" s="7"/>
      <c r="H6" s="5"/>
      <c r="I6" s="24"/>
      <c r="J6" s="26" t="s">
        <v>15</v>
      </c>
      <c r="K6" s="7"/>
      <c r="L6" s="5"/>
      <c r="M6" s="6"/>
      <c r="N6" s="7"/>
      <c r="O6" s="7"/>
      <c r="P6" s="7"/>
      <c r="Q6" s="7"/>
      <c r="R6" s="7"/>
      <c r="S6" s="7"/>
      <c r="T6" s="5"/>
      <c r="V6" s="8" t="s">
        <v>16</v>
      </c>
      <c r="W6" s="5"/>
      <c r="X6" s="27" t="s">
        <v>17</v>
      </c>
      <c r="AA6" s="28"/>
      <c r="AB6" s="29">
        <v>3.0</v>
      </c>
      <c r="AC6" s="11"/>
      <c r="AD6" s="30"/>
      <c r="AF6" s="18"/>
      <c r="AK6" s="19"/>
      <c r="AM6" s="20" t="s">
        <v>18</v>
      </c>
      <c r="AN6" s="7"/>
      <c r="AO6" s="7"/>
      <c r="AP6" s="7"/>
      <c r="AQ6" s="7"/>
      <c r="AR6" s="7"/>
      <c r="AS6" s="5"/>
      <c r="AX6" s="14"/>
      <c r="AY6" s="14"/>
      <c r="AZ6" s="14"/>
      <c r="BA6" s="14"/>
      <c r="BB6" s="14"/>
      <c r="BC6" s="14"/>
      <c r="BD6" s="14"/>
      <c r="BE6" s="14"/>
      <c r="BF6" s="14"/>
      <c r="BG6" s="14"/>
      <c r="BH6" s="14"/>
      <c r="BI6" s="14"/>
      <c r="BJ6" s="14"/>
      <c r="BK6" s="14"/>
      <c r="BL6" s="14"/>
      <c r="BM6" s="14"/>
      <c r="BN6" s="14"/>
      <c r="BO6" s="14"/>
      <c r="BP6" s="14"/>
      <c r="BQ6" s="14"/>
      <c r="BR6" s="14"/>
      <c r="BS6" s="14"/>
      <c r="BT6" s="14"/>
      <c r="BU6" s="13"/>
      <c r="BV6" s="13"/>
      <c r="BW6" s="13"/>
      <c r="BX6" s="13"/>
      <c r="BY6" s="13"/>
      <c r="BZ6" s="13"/>
    </row>
    <row r="7">
      <c r="A7" s="24"/>
      <c r="B7" s="24"/>
      <c r="C7" s="24"/>
      <c r="D7" s="24"/>
      <c r="E7" s="24"/>
      <c r="F7" s="24"/>
      <c r="G7" s="24"/>
      <c r="H7" s="24"/>
      <c r="I7" s="24"/>
      <c r="J7" s="24"/>
      <c r="K7" s="24"/>
      <c r="L7" s="24"/>
      <c r="M7" s="24"/>
      <c r="N7" s="16"/>
      <c r="O7" s="16"/>
      <c r="P7" s="16"/>
      <c r="Q7" s="16"/>
      <c r="R7" s="16"/>
      <c r="S7" s="16"/>
      <c r="T7" s="16"/>
      <c r="V7" s="17">
        <v>0.0</v>
      </c>
      <c r="W7" s="12"/>
      <c r="X7" s="17">
        <f>IF(ISNUMBER(V3),if(AND(V3&gt;=1,V3&lt;=20),CHOOSE(V3,50,75,100,150,200,350,475,600,725,850,1000,1200,1400,1600,1800,2100,2400,2700,3000),0),0)</f>
        <v>50</v>
      </c>
      <c r="Y7" s="12"/>
      <c r="AA7" s="18"/>
      <c r="AB7" s="31"/>
      <c r="AC7" s="31"/>
      <c r="AD7" s="19"/>
      <c r="AF7" s="18"/>
      <c r="AK7" s="19"/>
      <c r="AM7" s="20" t="s">
        <v>19</v>
      </c>
      <c r="AN7" s="7"/>
      <c r="AO7" s="7"/>
      <c r="AP7" s="7"/>
      <c r="AQ7" s="7"/>
      <c r="AR7" s="7"/>
      <c r="AS7" s="5"/>
      <c r="AX7" s="14"/>
      <c r="AY7" s="14"/>
      <c r="AZ7" s="14"/>
      <c r="BA7" s="14"/>
      <c r="BB7" s="14"/>
      <c r="BC7" s="14"/>
      <c r="BD7" s="14"/>
      <c r="BE7" s="14"/>
      <c r="BF7" s="14"/>
      <c r="BG7" s="14"/>
      <c r="BH7" s="14"/>
      <c r="BI7" s="14"/>
      <c r="BJ7" s="14"/>
      <c r="BK7" s="14"/>
      <c r="BL7" s="14"/>
      <c r="BM7" s="14"/>
      <c r="BN7" s="14"/>
      <c r="BO7" s="14"/>
      <c r="BP7" s="14"/>
      <c r="BQ7" s="14"/>
      <c r="BR7" s="14"/>
      <c r="BS7" s="14"/>
      <c r="BT7" s="14"/>
      <c r="BU7" s="13"/>
      <c r="BV7" s="13"/>
      <c r="BW7" s="13"/>
      <c r="BX7" s="13"/>
      <c r="BY7" s="13"/>
      <c r="BZ7" s="13"/>
    </row>
    <row r="8">
      <c r="A8" s="3"/>
      <c r="B8" s="4" t="s">
        <v>20</v>
      </c>
      <c r="C8" s="5"/>
      <c r="D8" s="25"/>
      <c r="E8" s="7"/>
      <c r="F8" s="7"/>
      <c r="G8" s="7"/>
      <c r="H8" s="5"/>
      <c r="I8" s="3"/>
      <c r="J8" s="26" t="s">
        <v>21</v>
      </c>
      <c r="K8" s="7"/>
      <c r="L8" s="5"/>
      <c r="M8" s="6" t="s">
        <v>22</v>
      </c>
      <c r="N8" s="7"/>
      <c r="O8" s="7"/>
      <c r="P8" s="7"/>
      <c r="Q8" s="7"/>
      <c r="R8" s="7"/>
      <c r="S8" s="7"/>
      <c r="T8" s="5"/>
      <c r="V8" s="21"/>
      <c r="W8" s="22"/>
      <c r="X8" s="21"/>
      <c r="Y8" s="22"/>
      <c r="AA8" s="32" t="s">
        <v>23</v>
      </c>
      <c r="AB8" s="31"/>
      <c r="AC8" s="31"/>
      <c r="AD8" s="22"/>
      <c r="AF8" s="21"/>
      <c r="AG8" s="31"/>
      <c r="AH8" s="31"/>
      <c r="AI8" s="31"/>
      <c r="AJ8" s="31"/>
      <c r="AK8" s="22"/>
      <c r="AM8" s="13"/>
      <c r="AN8" s="13"/>
      <c r="AO8" s="13"/>
      <c r="AP8" s="13"/>
      <c r="AQ8" s="33"/>
      <c r="AR8" s="33"/>
      <c r="AX8" s="14"/>
      <c r="AY8" s="14"/>
      <c r="AZ8" s="14"/>
      <c r="BA8" s="14"/>
      <c r="BB8" s="14"/>
      <c r="BC8" s="14"/>
      <c r="BD8" s="14"/>
      <c r="BE8" s="14"/>
      <c r="BF8" s="14"/>
      <c r="BG8" s="14"/>
      <c r="BH8" s="14"/>
      <c r="BI8" s="14"/>
      <c r="BJ8" s="14"/>
      <c r="BK8" s="14"/>
      <c r="BL8" s="14"/>
      <c r="BM8" s="14"/>
      <c r="BN8" s="14"/>
      <c r="BO8" s="14"/>
      <c r="BP8" s="14"/>
      <c r="BQ8" s="14"/>
      <c r="BR8" s="14"/>
      <c r="BS8" s="14"/>
      <c r="BT8" s="14"/>
      <c r="BU8" s="13"/>
      <c r="BV8" s="13"/>
      <c r="BW8" s="13"/>
      <c r="BX8" s="13"/>
      <c r="BY8" s="13"/>
      <c r="BZ8" s="13"/>
    </row>
    <row r="9">
      <c r="A9" s="3"/>
      <c r="AM9" s="3"/>
      <c r="AN9" s="3"/>
      <c r="AO9" s="3"/>
      <c r="AP9" s="3"/>
      <c r="BM9" s="3"/>
      <c r="BN9" s="3"/>
      <c r="BO9" s="3"/>
      <c r="BP9" s="3"/>
      <c r="BQ9" s="3"/>
      <c r="BR9" s="3"/>
      <c r="BS9" s="3"/>
      <c r="BT9" s="3"/>
      <c r="BU9" s="3"/>
      <c r="BV9" s="3"/>
      <c r="BW9" s="3"/>
      <c r="BX9" s="3"/>
      <c r="BY9" s="3"/>
      <c r="BZ9" s="3"/>
    </row>
    <row r="10">
      <c r="A10" s="15"/>
      <c r="B10" s="34" t="s">
        <v>24</v>
      </c>
      <c r="C10" s="7"/>
      <c r="D10" s="7"/>
      <c r="E10" s="5"/>
      <c r="F10" s="3"/>
      <c r="G10" s="34" t="s">
        <v>25</v>
      </c>
      <c r="H10" s="7"/>
      <c r="I10" s="7"/>
      <c r="J10" s="7"/>
      <c r="K10" s="7"/>
      <c r="L10" s="7"/>
      <c r="M10" s="5"/>
      <c r="N10" s="3"/>
      <c r="O10" s="35" t="b">
        <v>0</v>
      </c>
      <c r="P10" s="36">
        <v>0.0</v>
      </c>
      <c r="Q10" s="37" t="b">
        <v>0</v>
      </c>
      <c r="S10" s="38"/>
      <c r="T10" s="39"/>
      <c r="U10" s="40"/>
      <c r="W10" s="41" t="s">
        <v>26</v>
      </c>
      <c r="X10" s="39"/>
      <c r="Y10" s="42">
        <v>30.0</v>
      </c>
      <c r="Z10" s="39"/>
      <c r="AA10" s="40"/>
      <c r="AC10" s="43" t="s">
        <v>27</v>
      </c>
      <c r="AD10" s="11"/>
      <c r="AE10" s="11"/>
      <c r="AF10" s="11"/>
      <c r="AG10" s="11"/>
      <c r="AH10" s="11"/>
      <c r="AI10" s="11"/>
      <c r="AJ10" s="12"/>
      <c r="AL10" s="16"/>
      <c r="AM10" s="44" t="s">
        <v>28</v>
      </c>
      <c r="AN10" s="7"/>
      <c r="AO10" s="7"/>
      <c r="AP10" s="7"/>
      <c r="AQ10" s="7"/>
      <c r="AR10" s="7"/>
      <c r="AS10" s="7"/>
      <c r="AT10" s="7"/>
      <c r="AU10" s="7"/>
      <c r="AV10" s="5"/>
      <c r="AW10" s="44" t="s">
        <v>29</v>
      </c>
      <c r="AX10" s="7"/>
      <c r="AY10" s="7"/>
      <c r="AZ10" s="7"/>
      <c r="BA10" s="7"/>
      <c r="BB10" s="7"/>
      <c r="BC10" s="7"/>
      <c r="BD10" s="7"/>
      <c r="BE10" s="7"/>
      <c r="BF10" s="5"/>
      <c r="BR10" s="16"/>
      <c r="BS10" s="16"/>
      <c r="BT10" s="16"/>
      <c r="BU10" s="16"/>
      <c r="BV10" s="16"/>
      <c r="BW10" s="16"/>
      <c r="BX10" s="16"/>
      <c r="BY10" s="16"/>
      <c r="BZ10" s="16"/>
    </row>
    <row r="11">
      <c r="A11" s="24"/>
      <c r="B11" s="45"/>
      <c r="C11" s="46"/>
      <c r="D11" s="31"/>
      <c r="E11" s="47"/>
      <c r="F11" s="3"/>
      <c r="G11" s="48">
        <f>IF(OR(M2="Ninja Médico", M2="Ninja Batedor", M2="Especialista em Taijutsu", M2="Especialista em Armas", M2="Mestre da Marionetes"), 1, "h")</f>
        <v>1</v>
      </c>
      <c r="H11" s="49">
        <f>IF(AP2="h",FLOOR(0.5*X3,1),IF(G11="e",2*X3,IF(G11=1,X3,0)))+C13+Modificadores!B23+Modificadores!B29</f>
        <v>3</v>
      </c>
      <c r="I11" s="50" t="s">
        <v>30</v>
      </c>
      <c r="J11" s="11"/>
      <c r="K11" s="11"/>
      <c r="L11" s="11"/>
      <c r="M11" s="12"/>
      <c r="O11" s="51">
        <f>If(P10=+1,C28,IF(P10=-1,C33,C18))+if(O10=true,X3,(ROUNDDOWN(X3/2,0)))+IF(Q10=true,5,0)+O14+Modificadores!B8</f>
        <v>2</v>
      </c>
      <c r="P11" s="11"/>
      <c r="Q11" s="52"/>
      <c r="S11" s="53">
        <f>'Registro e Inventário'!AM4</f>
        <v>19</v>
      </c>
      <c r="U11" s="54"/>
      <c r="W11" s="55" t="s">
        <v>31</v>
      </c>
      <c r="Y11" s="56">
        <v>30.0</v>
      </c>
      <c r="AA11" s="54"/>
      <c r="AC11" s="57" t="s">
        <v>32</v>
      </c>
      <c r="AD11" s="11"/>
      <c r="AE11" s="11"/>
      <c r="AF11" s="11"/>
      <c r="AG11" s="12"/>
      <c r="AH11" s="58" t="b">
        <v>0</v>
      </c>
      <c r="AI11" s="59" t="b">
        <v>1</v>
      </c>
      <c r="AJ11" s="60" t="b">
        <v>1</v>
      </c>
      <c r="AL11" s="24"/>
      <c r="AM11" s="61" t="s">
        <v>33</v>
      </c>
      <c r="AN11" s="12"/>
      <c r="AO11" s="62" t="str">
        <f> "+ PV"</f>
        <v>+ PV</v>
      </c>
      <c r="AP11" s="12"/>
      <c r="AQ11" s="62" t="str">
        <f>"- PV"</f>
        <v>- PV</v>
      </c>
      <c r="AR11" s="12"/>
      <c r="AS11" s="63" t="str">
        <f> "+ PVT"</f>
        <v>+ PVT</v>
      </c>
      <c r="AT11" s="12"/>
      <c r="AU11" s="63" t="str">
        <f> "- PVT"</f>
        <v>- PVT</v>
      </c>
      <c r="AV11" s="12"/>
      <c r="AW11" s="61" t="s">
        <v>33</v>
      </c>
      <c r="AX11" s="12"/>
      <c r="AY11" s="64" t="str">
        <f> "+ PC"</f>
        <v>+ PC</v>
      </c>
      <c r="AZ11" s="12"/>
      <c r="BA11" s="64" t="str">
        <f>"- PC"</f>
        <v>- PC</v>
      </c>
      <c r="BB11" s="12"/>
      <c r="BC11" s="65" t="str">
        <f> "+ PCT"</f>
        <v>+ PCT</v>
      </c>
      <c r="BD11" s="12"/>
      <c r="BE11" s="65" t="str">
        <f> "- PCT"</f>
        <v>- PCT</v>
      </c>
      <c r="BF11" s="12"/>
      <c r="BR11" s="24"/>
      <c r="BS11" s="24"/>
      <c r="BT11" s="24"/>
      <c r="BU11" s="24"/>
      <c r="BV11" s="24"/>
      <c r="BW11" s="24"/>
      <c r="BX11" s="24"/>
      <c r="BY11" s="24"/>
      <c r="BZ11" s="24"/>
    </row>
    <row r="12">
      <c r="A12" s="24"/>
      <c r="B12" s="18"/>
      <c r="C12" s="66" t="s">
        <v>34</v>
      </c>
      <c r="D12" s="5"/>
      <c r="E12" s="19"/>
      <c r="F12" s="3"/>
      <c r="G12" s="48" t="str">
        <f>IF(OR(M2="Ninja Cientista", M2="Especialista em Taijutsu", M2="Especialista em Armas", M2="Operativo de Inteligência", M2="Ninja Caçador"), 1, "h")</f>
        <v>h</v>
      </c>
      <c r="H12" s="49">
        <f>IF(G12="h",FLOOR(0.5*X3,1),IF(G12="e",2*X3,IF(G12=1,X3,0)))+C18+Modificadores!B24+Modificadores!B29</f>
        <v>2</v>
      </c>
      <c r="I12" s="67" t="s">
        <v>35</v>
      </c>
      <c r="M12" s="19"/>
      <c r="N12" s="3"/>
      <c r="O12" s="68"/>
      <c r="Q12" s="54"/>
      <c r="S12" s="68"/>
      <c r="U12" s="54"/>
      <c r="W12" s="55" t="s">
        <v>36</v>
      </c>
      <c r="Y12" s="69"/>
      <c r="AA12" s="54"/>
      <c r="AC12" s="21"/>
      <c r="AD12" s="31"/>
      <c r="AE12" s="31"/>
      <c r="AF12" s="31"/>
      <c r="AG12" s="22"/>
      <c r="AH12" s="21"/>
      <c r="AI12" s="31"/>
      <c r="AJ12" s="22"/>
      <c r="AL12" s="24"/>
      <c r="AM12" s="18"/>
      <c r="AN12" s="19"/>
      <c r="AO12" s="21"/>
      <c r="AP12" s="22"/>
      <c r="AQ12" s="21"/>
      <c r="AR12" s="22"/>
      <c r="AS12" s="21"/>
      <c r="AT12" s="22"/>
      <c r="AU12" s="21"/>
      <c r="AV12" s="22"/>
      <c r="AW12" s="18"/>
      <c r="AX12" s="19"/>
      <c r="AY12" s="21"/>
      <c r="AZ12" s="22"/>
      <c r="BA12" s="21"/>
      <c r="BB12" s="22"/>
      <c r="BC12" s="21"/>
      <c r="BD12" s="22"/>
      <c r="BE12" s="21"/>
      <c r="BF12" s="22"/>
      <c r="BR12" s="24"/>
      <c r="BS12" s="24"/>
      <c r="BT12" s="24"/>
      <c r="BU12" s="24"/>
      <c r="BV12" s="24"/>
      <c r="BW12" s="24"/>
      <c r="BX12" s="24"/>
      <c r="BY12" s="24"/>
      <c r="BZ12" s="24"/>
    </row>
    <row r="13">
      <c r="A13" s="24"/>
      <c r="B13" s="18"/>
      <c r="C13" s="70">
        <f>IF(C15&gt;=10,ROUNDDOWN((C15-10)/2,0),ROUNDUP((C15-10)/2,0))</f>
        <v>0</v>
      </c>
      <c r="D13" s="12"/>
      <c r="E13" s="19"/>
      <c r="F13" s="3"/>
      <c r="G13" s="48">
        <f>IF(OR(M2="Ninja Cientista", M2="Ninja Batedor", M2="Especialista em Genjutsu", M2="Especialista em Armas", M2="Ninja Cozinheiro", M2="Mestre da Marionetes"), 1, "h")</f>
        <v>1</v>
      </c>
      <c r="H13" s="49">
        <f>IF(G13="h",FLOOR(0.5*X3,1),IF(G13="e",2*X3,IF(G13=1,X3,0)))+C23+Modificadores!B25+Modificadores!B29</f>
        <v>4</v>
      </c>
      <c r="I13" s="67" t="s">
        <v>37</v>
      </c>
      <c r="M13" s="19"/>
      <c r="O13" s="71" t="s">
        <v>38</v>
      </c>
      <c r="P13" s="7"/>
      <c r="Q13" s="72"/>
      <c r="S13" s="73" t="s">
        <v>39</v>
      </c>
      <c r="U13" s="54"/>
      <c r="W13" s="55" t="s">
        <v>40</v>
      </c>
      <c r="Y13" s="74" t="b">
        <v>0</v>
      </c>
      <c r="Z13" s="74" t="b">
        <v>0</v>
      </c>
      <c r="AA13" s="75" t="b">
        <v>0</v>
      </c>
      <c r="AC13" s="76" t="s">
        <v>41</v>
      </c>
      <c r="AD13" s="11"/>
      <c r="AE13" s="11"/>
      <c r="AF13" s="11"/>
      <c r="AG13" s="12"/>
      <c r="AH13" s="58" t="b">
        <v>0</v>
      </c>
      <c r="AI13" s="59" t="b">
        <v>1</v>
      </c>
      <c r="AJ13" s="60" t="b">
        <v>1</v>
      </c>
      <c r="AL13" s="24"/>
      <c r="AM13" s="77" t="s">
        <v>42</v>
      </c>
      <c r="AN13" s="5"/>
      <c r="AO13" s="78"/>
      <c r="AP13" s="5"/>
      <c r="AQ13" s="78"/>
      <c r="AR13" s="5"/>
      <c r="AS13" s="79">
        <v>5.0</v>
      </c>
      <c r="AT13" s="5"/>
      <c r="AU13" s="80"/>
      <c r="AV13" s="5"/>
      <c r="AW13" s="77" t="s">
        <v>42</v>
      </c>
      <c r="AX13" s="5"/>
      <c r="AY13" s="81"/>
      <c r="AZ13" s="5"/>
      <c r="BA13" s="81"/>
      <c r="BB13" s="5"/>
      <c r="BC13" s="82"/>
      <c r="BD13" s="5"/>
      <c r="BE13" s="82"/>
      <c r="BF13" s="5"/>
      <c r="BR13" s="24"/>
      <c r="BS13" s="24"/>
      <c r="BT13" s="24"/>
      <c r="BU13" s="24"/>
      <c r="BV13" s="24"/>
      <c r="BW13" s="24"/>
      <c r="BX13" s="24"/>
      <c r="BY13" s="24"/>
      <c r="BZ13" s="24"/>
    </row>
    <row r="14">
      <c r="A14" s="24"/>
      <c r="B14" s="18"/>
      <c r="C14" s="21"/>
      <c r="D14" s="22"/>
      <c r="E14" s="19"/>
      <c r="F14" s="3"/>
      <c r="G14" s="48">
        <f>IF(OR(M2="Ninja Cientista", M2="Ninja Batedor", M2="Especialista em Ninjutsu", M2="Operativo de Inteligência", M2="Ninja Cozinheiro", M2="Mestre da Marionetes", M2="Ninja Caçador"), 1, "h")</f>
        <v>1</v>
      </c>
      <c r="H14" s="49">
        <f>IF(G14="h",FLOOR(0.5*X3,1),IF(G14="e",2*X3,IF(G14=1,X3,0)))+C28+Modificadores!B26+Modificadores!B29</f>
        <v>6</v>
      </c>
      <c r="I14" s="67" t="s">
        <v>43</v>
      </c>
      <c r="M14" s="19"/>
      <c r="O14" s="83">
        <v>0.0</v>
      </c>
      <c r="P14" s="84"/>
      <c r="Q14" s="85"/>
      <c r="S14" s="83">
        <v>0.0</v>
      </c>
      <c r="T14" s="84"/>
      <c r="U14" s="85"/>
      <c r="W14" s="86" t="s">
        <v>44</v>
      </c>
      <c r="X14" s="84"/>
      <c r="Y14" s="84"/>
      <c r="Z14" s="84"/>
      <c r="AA14" s="85"/>
      <c r="AC14" s="21"/>
      <c r="AD14" s="31"/>
      <c r="AE14" s="31"/>
      <c r="AF14" s="31"/>
      <c r="AG14" s="22"/>
      <c r="AH14" s="21"/>
      <c r="AI14" s="31"/>
      <c r="AJ14" s="22"/>
      <c r="AL14" s="16"/>
      <c r="AM14" s="87">
        <v>1.0</v>
      </c>
      <c r="AN14" s="5"/>
      <c r="AO14" s="88"/>
      <c r="AP14" s="5"/>
      <c r="AQ14" s="89">
        <v>0.0</v>
      </c>
      <c r="AR14" s="5"/>
      <c r="AS14" s="90"/>
      <c r="AT14" s="5"/>
      <c r="AU14" s="90"/>
      <c r="AV14" s="5"/>
      <c r="AW14" s="87">
        <v>1.0</v>
      </c>
      <c r="AX14" s="5"/>
      <c r="AY14" s="91"/>
      <c r="AZ14" s="5"/>
      <c r="BA14" s="92">
        <v>6.0</v>
      </c>
      <c r="BB14" s="5"/>
      <c r="BC14" s="93"/>
      <c r="BD14" s="5"/>
      <c r="BE14" s="93"/>
      <c r="BF14" s="5"/>
      <c r="BM14" s="16"/>
      <c r="BN14" s="16"/>
      <c r="BO14" s="16"/>
      <c r="BP14" s="16"/>
      <c r="BQ14" s="16"/>
      <c r="BR14" s="16"/>
      <c r="BS14" s="16"/>
      <c r="BT14" s="16"/>
      <c r="BU14" s="16"/>
      <c r="BV14" s="16"/>
      <c r="BW14" s="16"/>
      <c r="BX14" s="16"/>
      <c r="BY14" s="16"/>
      <c r="BZ14" s="16"/>
    </row>
    <row r="15">
      <c r="A15" s="24"/>
      <c r="B15" s="18"/>
      <c r="C15" s="94">
        <v>11.0</v>
      </c>
      <c r="D15" s="5"/>
      <c r="E15" s="19"/>
      <c r="F15" s="24"/>
      <c r="G15" s="48" t="str">
        <f>IF(OR(M2="Ninja Médico", M2="Ninja Caçador", M2="Especialista em Ninjutsu", M2="Especialista em Genjutsu"), 1, "h")</f>
        <v>h</v>
      </c>
      <c r="H15" s="49">
        <f>IF(G15="h",FLOOR(0.5*X3,1),IF(G15="e",2*X3,IF(G15=1,X3,0)))+C33+Modificadores!B27+Modificadores!B29</f>
        <v>1</v>
      </c>
      <c r="I15" s="67" t="s">
        <v>45</v>
      </c>
      <c r="M15" s="19"/>
      <c r="O15" s="24"/>
      <c r="Q15" s="24"/>
      <c r="R15" s="24"/>
      <c r="S15" s="24"/>
      <c r="T15" s="24"/>
      <c r="U15" s="24"/>
      <c r="V15" s="24"/>
      <c r="W15" s="24"/>
      <c r="X15" s="24"/>
      <c r="Y15" s="24"/>
      <c r="Z15" s="24"/>
      <c r="AA15" s="24"/>
      <c r="AB15" s="24"/>
      <c r="AC15" s="24"/>
      <c r="AD15" s="24"/>
      <c r="AE15" s="24"/>
      <c r="AF15" s="24"/>
      <c r="AG15" s="24"/>
      <c r="AH15" s="24"/>
      <c r="AI15" s="16"/>
      <c r="AJ15" s="16"/>
      <c r="AK15" s="16"/>
      <c r="AL15" s="16"/>
      <c r="AM15" s="95">
        <v>2.0</v>
      </c>
      <c r="AN15" s="5"/>
      <c r="AO15" s="96"/>
      <c r="AP15" s="5"/>
      <c r="AQ15" s="96"/>
      <c r="AR15" s="5"/>
      <c r="AS15" s="97"/>
      <c r="AT15" s="5"/>
      <c r="AU15" s="97"/>
      <c r="AV15" s="5"/>
      <c r="AW15" s="95">
        <v>2.0</v>
      </c>
      <c r="AX15" s="5"/>
      <c r="AY15" s="98"/>
      <c r="AZ15" s="5"/>
      <c r="BA15" s="98"/>
      <c r="BB15" s="5"/>
      <c r="BC15" s="99"/>
      <c r="BD15" s="5"/>
      <c r="BE15" s="99"/>
      <c r="BF15" s="5"/>
      <c r="BM15" s="16"/>
      <c r="BN15" s="16"/>
      <c r="BO15" s="16"/>
      <c r="BP15" s="16"/>
      <c r="BQ15" s="16"/>
      <c r="BR15" s="16"/>
      <c r="BS15" s="16"/>
      <c r="BT15" s="16"/>
      <c r="BU15" s="16"/>
      <c r="BV15" s="16"/>
      <c r="BW15" s="16"/>
      <c r="BX15" s="16"/>
      <c r="BY15" s="16"/>
      <c r="BZ15" s="16"/>
    </row>
    <row r="16">
      <c r="A16" s="24"/>
      <c r="B16" s="18"/>
      <c r="C16" s="100">
        <v>0.0</v>
      </c>
      <c r="D16" s="11"/>
      <c r="E16" s="19"/>
      <c r="F16" s="3"/>
      <c r="G16" s="48" t="str">
        <f>IF(OR(M2="Ninja Médico", M2="Operativo de Inteligência", M2="Especialista em Taijutsu", M2="Especialista em Ninjutsu", M2="Especialista em Genjutsu", M2="Ninja Cozinheiro"), 1, "h")</f>
        <v>h</v>
      </c>
      <c r="H16" s="101">
        <f>IF(G16="h",FLOOR(0.5*X3,1),IF(G16="e",2*X3,IF(G16=1,X3,0)))+C38+Modificadores!B28+Modificadores!B29</f>
        <v>3</v>
      </c>
      <c r="I16" s="102" t="s">
        <v>46</v>
      </c>
      <c r="J16" s="31"/>
      <c r="K16" s="31"/>
      <c r="L16" s="31"/>
      <c r="M16" s="22"/>
      <c r="O16" s="103" t="s">
        <v>47</v>
      </c>
      <c r="P16" s="12"/>
      <c r="Q16" s="104">
        <f>SUM(Modificadores!D4+V28+C23+P21+IF(O21=true,PRODUCT(SUM(V3-1),V28+C23),PRODUCT(SUM(V3-1),V28/2+1+C23+P21)))</f>
        <v>19</v>
      </c>
      <c r="R16" s="12"/>
      <c r="S16" s="105" t="str">
        <f>IFERROR(__xludf.DUMMYFUNCTION("SPARKLINE(O18,{""charttype"",""column"";""ymax"",Q16;""ymin"",0;""color"",IF(O18&gt;ROUND(Q16*0.6),""green"",IF(O18&lt;ROUND(Q16*0.2),""red"",""yellow""))})"),"")</f>
        <v/>
      </c>
      <c r="T16" s="106" t="str">
        <f>IFERROR(__xludf.DUMMYFUNCTION("SPARKLINE(U18,{""charttype"",""column"";""ymax"",W16;""ymin"",0;""color"",""blue""})"),"")</f>
        <v/>
      </c>
      <c r="U16" s="107" t="s">
        <v>48</v>
      </c>
      <c r="V16" s="12"/>
      <c r="W16" s="104">
        <f>SUM(Modificadores!D4+Z28+C23+V21+IF(U21=true,PRODUCT(SUM(V3-1),Z28+C23),PRODUCT(SUM(V3-1),Z28/2+1+C23+V21)))</f>
        <v>21</v>
      </c>
      <c r="X16" s="12"/>
      <c r="Y16" s="108"/>
      <c r="Z16" s="109" t="s">
        <v>49</v>
      </c>
      <c r="AA16" s="7"/>
      <c r="AB16" s="5"/>
      <c r="AC16" s="109" t="s">
        <v>50</v>
      </c>
      <c r="AD16" s="7"/>
      <c r="AE16" s="5"/>
      <c r="AF16" s="109" t="s">
        <v>51</v>
      </c>
      <c r="AG16" s="7"/>
      <c r="AH16" s="5"/>
      <c r="AI16" s="108"/>
      <c r="AJ16" s="110"/>
      <c r="AK16" s="16"/>
      <c r="AL16" s="24"/>
      <c r="AM16" s="95">
        <v>3.0</v>
      </c>
      <c r="AN16" s="5"/>
      <c r="AO16" s="96"/>
      <c r="AP16" s="5"/>
      <c r="AQ16" s="96"/>
      <c r="AR16" s="5"/>
      <c r="AS16" s="97"/>
      <c r="AT16" s="5"/>
      <c r="AU16" s="97"/>
      <c r="AV16" s="5"/>
      <c r="AW16" s="95">
        <v>3.0</v>
      </c>
      <c r="AX16" s="5"/>
      <c r="AY16" s="98"/>
      <c r="AZ16" s="5"/>
      <c r="BA16" s="98"/>
      <c r="BB16" s="5"/>
      <c r="BC16" s="99"/>
      <c r="BD16" s="5"/>
      <c r="BE16" s="99"/>
      <c r="BF16" s="5"/>
      <c r="BM16" s="24"/>
      <c r="BN16" s="24"/>
      <c r="BO16" s="24"/>
      <c r="BP16" s="24"/>
      <c r="BQ16" s="24"/>
      <c r="BR16" s="24"/>
      <c r="BS16" s="24"/>
      <c r="BT16" s="24"/>
      <c r="BU16" s="24"/>
      <c r="BV16" s="24"/>
      <c r="BW16" s="24"/>
      <c r="BX16" s="24"/>
      <c r="BY16" s="24"/>
      <c r="BZ16" s="24"/>
    </row>
    <row r="17">
      <c r="A17" s="24"/>
      <c r="B17" s="18"/>
      <c r="C17" s="66" t="s">
        <v>52</v>
      </c>
      <c r="D17" s="5"/>
      <c r="E17" s="19"/>
      <c r="F17" s="3"/>
      <c r="G17" s="111"/>
      <c r="H17" s="111"/>
      <c r="I17" s="111"/>
      <c r="J17" s="111"/>
      <c r="K17" s="111"/>
      <c r="L17" s="111"/>
      <c r="M17" s="112"/>
      <c r="O17" s="21"/>
      <c r="P17" s="22"/>
      <c r="Q17" s="21"/>
      <c r="R17" s="22"/>
      <c r="S17" s="113"/>
      <c r="T17" s="113"/>
      <c r="U17" s="21"/>
      <c r="V17" s="22"/>
      <c r="W17" s="21"/>
      <c r="X17" s="22"/>
      <c r="Z17" s="114">
        <f>Jutsus!U3</f>
        <v>6</v>
      </c>
      <c r="AA17" s="115"/>
      <c r="AB17" s="116"/>
      <c r="AC17" s="114">
        <f>Jutsus!AA3</f>
        <v>5</v>
      </c>
      <c r="AD17" s="115"/>
      <c r="AE17" s="116"/>
      <c r="AF17" s="114">
        <f>Jutsus!AG3</f>
        <v>3</v>
      </c>
      <c r="AG17" s="115"/>
      <c r="AH17" s="116"/>
      <c r="AI17" s="33"/>
      <c r="AJ17" s="117"/>
      <c r="AK17" s="118"/>
      <c r="AL17" s="24"/>
      <c r="AM17" s="95">
        <v>4.0</v>
      </c>
      <c r="AN17" s="5"/>
      <c r="AO17" s="96"/>
      <c r="AP17" s="5"/>
      <c r="AQ17" s="96"/>
      <c r="AR17" s="5"/>
      <c r="AS17" s="97"/>
      <c r="AT17" s="5"/>
      <c r="AU17" s="97"/>
      <c r="AV17" s="5"/>
      <c r="AW17" s="95">
        <v>4.0</v>
      </c>
      <c r="AX17" s="5"/>
      <c r="AY17" s="98"/>
      <c r="AZ17" s="5"/>
      <c r="BA17" s="98"/>
      <c r="BB17" s="5"/>
      <c r="BC17" s="99"/>
      <c r="BD17" s="5"/>
      <c r="BE17" s="99"/>
      <c r="BF17" s="5"/>
      <c r="BM17" s="24"/>
      <c r="BN17" s="24"/>
      <c r="BO17" s="24"/>
      <c r="BP17" s="24"/>
      <c r="BQ17" s="24"/>
      <c r="BR17" s="24"/>
      <c r="BS17" s="24"/>
      <c r="BT17" s="24"/>
      <c r="BU17" s="24"/>
      <c r="BV17" s="24"/>
      <c r="BW17" s="24"/>
      <c r="BX17" s="24"/>
      <c r="BY17" s="24"/>
      <c r="BZ17" s="24"/>
    </row>
    <row r="18">
      <c r="A18" s="24"/>
      <c r="B18" s="18"/>
      <c r="C18" s="70">
        <f>IF(C20&gt;=10,ROUNDDOWN((C20-10)/2,0),ROUNDUP((C20-10)/2,0))</f>
        <v>1</v>
      </c>
      <c r="D18" s="12"/>
      <c r="E18" s="19"/>
      <c r="F18" s="3"/>
      <c r="G18" s="119" t="s">
        <v>53</v>
      </c>
      <c r="H18" s="7"/>
      <c r="I18" s="7"/>
      <c r="J18" s="7"/>
      <c r="K18" s="7"/>
      <c r="L18" s="7"/>
      <c r="M18" s="5"/>
      <c r="O18" s="120">
        <f>MIN(Q16,Q16-AQ25+AO25)</f>
        <v>19</v>
      </c>
      <c r="P18" s="11"/>
      <c r="Q18" s="11"/>
      <c r="R18" s="12"/>
      <c r="S18" s="113"/>
      <c r="T18" s="113"/>
      <c r="U18" s="121">
        <f>MIN(W16,W16-BA25+AY25)</f>
        <v>15</v>
      </c>
      <c r="V18" s="11"/>
      <c r="W18" s="11"/>
      <c r="X18" s="12"/>
      <c r="Z18" s="122"/>
      <c r="AA18" s="123"/>
      <c r="AB18" s="124"/>
      <c r="AC18" s="122"/>
      <c r="AD18" s="123"/>
      <c r="AE18" s="124"/>
      <c r="AF18" s="122"/>
      <c r="AG18" s="123"/>
      <c r="AH18" s="124"/>
      <c r="AI18" s="33"/>
      <c r="AJ18" s="117"/>
      <c r="AK18" s="16"/>
      <c r="AL18" s="24"/>
      <c r="AM18" s="95">
        <v>5.0</v>
      </c>
      <c r="AN18" s="5"/>
      <c r="AO18" s="96"/>
      <c r="AP18" s="5"/>
      <c r="AQ18" s="96"/>
      <c r="AR18" s="5"/>
      <c r="AS18" s="97"/>
      <c r="AT18" s="5"/>
      <c r="AU18" s="97"/>
      <c r="AV18" s="5"/>
      <c r="AW18" s="95">
        <v>5.0</v>
      </c>
      <c r="AX18" s="5"/>
      <c r="AY18" s="98"/>
      <c r="AZ18" s="5"/>
      <c r="BA18" s="98"/>
      <c r="BB18" s="5"/>
      <c r="BC18" s="99"/>
      <c r="BD18" s="5"/>
      <c r="BE18" s="99"/>
      <c r="BF18" s="5"/>
      <c r="BM18" s="24"/>
      <c r="BN18" s="24"/>
      <c r="BO18" s="24"/>
      <c r="BP18" s="24"/>
      <c r="BQ18" s="24"/>
      <c r="BR18" s="24"/>
      <c r="BS18" s="24"/>
      <c r="BT18" s="24"/>
      <c r="BU18" s="24"/>
      <c r="BV18" s="24"/>
      <c r="BW18" s="24"/>
      <c r="BX18" s="24"/>
      <c r="BY18" s="24"/>
      <c r="BZ18" s="24"/>
    </row>
    <row r="19">
      <c r="A19" s="24"/>
      <c r="B19" s="18"/>
      <c r="C19" s="21"/>
      <c r="D19" s="22"/>
      <c r="E19" s="19"/>
      <c r="F19" s="3"/>
      <c r="G19" s="125">
        <v>1.0</v>
      </c>
      <c r="H19" s="126">
        <f>IF(M19="For",C13,IF(M19="Des",C18,IF(M19="Con",C23,IF(M19="Int",C28,IF(M19="Sab",C33,IF(M19="Car",C38,0)))))) + IF(G19="h",ROUNDDOWN(X3 * 0.5, 0),IF(G19=1,X3,IF(G19="m",X3*2,IF(G19="m1",X3+2,IF(G19="m2",X3+4,IF(G19="m3",X3+6,0))))))+Modificadores!B30+Modificadores!B51</f>
        <v>4</v>
      </c>
      <c r="I19" s="127" t="s">
        <v>54</v>
      </c>
      <c r="J19" s="11"/>
      <c r="K19" s="11"/>
      <c r="L19" s="11"/>
      <c r="M19" s="128" t="s">
        <v>55</v>
      </c>
      <c r="O19" s="21"/>
      <c r="P19" s="31"/>
      <c r="Q19" s="31"/>
      <c r="R19" s="22"/>
      <c r="S19" s="113"/>
      <c r="T19" s="113"/>
      <c r="U19" s="21"/>
      <c r="V19" s="31"/>
      <c r="W19" s="31"/>
      <c r="X19" s="22"/>
      <c r="Y19" s="129"/>
      <c r="Z19" s="130">
        <f>Jutsus!S3</f>
        <v>14</v>
      </c>
      <c r="AA19" s="115"/>
      <c r="AB19" s="116"/>
      <c r="AC19" s="130">
        <f>Jutsus!Y3</f>
        <v>13</v>
      </c>
      <c r="AD19" s="115"/>
      <c r="AE19" s="116"/>
      <c r="AF19" s="130">
        <f>Jutsus!AE3</f>
        <v>11</v>
      </c>
      <c r="AG19" s="115"/>
      <c r="AH19" s="116"/>
      <c r="AI19" s="33"/>
      <c r="AJ19" s="117"/>
      <c r="AK19" s="16"/>
      <c r="AL19" s="16"/>
      <c r="AM19" s="95">
        <v>6.0</v>
      </c>
      <c r="AN19" s="5"/>
      <c r="AO19" s="96"/>
      <c r="AP19" s="5"/>
      <c r="AQ19" s="96"/>
      <c r="AR19" s="5"/>
      <c r="AS19" s="97"/>
      <c r="AT19" s="5"/>
      <c r="AU19" s="97"/>
      <c r="AV19" s="5"/>
      <c r="AW19" s="95">
        <v>6.0</v>
      </c>
      <c r="AX19" s="5"/>
      <c r="AY19" s="98"/>
      <c r="AZ19" s="5"/>
      <c r="BA19" s="98"/>
      <c r="BB19" s="5"/>
      <c r="BC19" s="99"/>
      <c r="BD19" s="5"/>
      <c r="BE19" s="99"/>
      <c r="BF19" s="5"/>
      <c r="BM19" s="16"/>
      <c r="BN19" s="16"/>
      <c r="BO19" s="16"/>
      <c r="BP19" s="16"/>
      <c r="BQ19" s="16"/>
      <c r="BR19" s="16"/>
      <c r="BS19" s="16"/>
      <c r="BT19" s="16"/>
      <c r="BU19" s="16"/>
      <c r="BV19" s="16"/>
      <c r="BW19" s="16"/>
      <c r="BX19" s="16"/>
      <c r="BY19" s="16"/>
      <c r="BZ19" s="16"/>
    </row>
    <row r="20">
      <c r="A20" s="24"/>
      <c r="B20" s="18"/>
      <c r="C20" s="94">
        <v>13.0</v>
      </c>
      <c r="D20" s="5"/>
      <c r="E20" s="19"/>
      <c r="F20" s="15"/>
      <c r="G20" s="125">
        <v>0.0</v>
      </c>
      <c r="H20" s="131">
        <f>IF(M20="For",C13,IF(M20="Des",C18,IF(M20="Con",C23,IF(M20="Int",C28,IF(M20="Sab",C33,IF(M20="Car",C38,0)))))) + IF(G20="h",ROUNDDOWN(X3 * 0.5, 0),IF(G20=1,X3,IF(G20="m",X3*2,IF(G20="m1",X3+2,IF(G20="m2",X3+4,IF(G20="m3",X3+6,0))))))+Modificadores!B31+Modificadores!B51</f>
        <v>0</v>
      </c>
      <c r="I20" s="132" t="s">
        <v>56</v>
      </c>
      <c r="M20" s="128" t="s">
        <v>57</v>
      </c>
      <c r="O20" s="133" t="s">
        <v>58</v>
      </c>
      <c r="P20" s="7"/>
      <c r="Q20" s="7"/>
      <c r="R20" s="5"/>
      <c r="S20" s="113"/>
      <c r="T20" s="113"/>
      <c r="U20" s="133" t="s">
        <v>59</v>
      </c>
      <c r="V20" s="7"/>
      <c r="W20" s="7"/>
      <c r="X20" s="5"/>
      <c r="Y20" s="129"/>
      <c r="Z20" s="122"/>
      <c r="AA20" s="123"/>
      <c r="AB20" s="124"/>
      <c r="AC20" s="122"/>
      <c r="AD20" s="123"/>
      <c r="AE20" s="124"/>
      <c r="AF20" s="122"/>
      <c r="AG20" s="123"/>
      <c r="AH20" s="124"/>
      <c r="AI20" s="33"/>
      <c r="AJ20" s="117"/>
      <c r="AK20" s="16"/>
      <c r="AM20" s="95">
        <v>7.0</v>
      </c>
      <c r="AN20" s="5"/>
      <c r="AO20" s="96"/>
      <c r="AP20" s="5"/>
      <c r="AQ20" s="96"/>
      <c r="AR20" s="5"/>
      <c r="AS20" s="97"/>
      <c r="AT20" s="5"/>
      <c r="AU20" s="97"/>
      <c r="AV20" s="5"/>
      <c r="AW20" s="95">
        <v>7.0</v>
      </c>
      <c r="AX20" s="5"/>
      <c r="AY20" s="98"/>
      <c r="AZ20" s="5"/>
      <c r="BA20" s="98"/>
      <c r="BB20" s="5"/>
      <c r="BC20" s="99"/>
      <c r="BD20" s="5"/>
      <c r="BE20" s="99"/>
      <c r="BF20" s="5"/>
    </row>
    <row r="21">
      <c r="A21" s="24"/>
      <c r="B21" s="18"/>
      <c r="C21" s="100">
        <v>0.0</v>
      </c>
      <c r="D21" s="11"/>
      <c r="E21" s="19"/>
      <c r="F21" s="3"/>
      <c r="G21" s="125">
        <v>1.0</v>
      </c>
      <c r="H21" s="131">
        <f>IF(M21="For",C13,IF(M21="Des",C18,IF(M21="Con",C23,IF(M21="Int",C28,IF(M21="Sab",C33,IF(M21="Car",C38,0)))))) + IF(G21="h",ROUNDDOWN(X3 * 0.5, 0),IF(G21=1,X3,IF(G21="m",X3*2,IF(G21="m1",X3+2,IF(G21="m2",X3+4,IF(G21="m3",X3+6,0))))))+Modificadores!B32+Modificadores!B51</f>
        <v>3</v>
      </c>
      <c r="I21" s="132" t="s">
        <v>60</v>
      </c>
      <c r="M21" s="128" t="s">
        <v>61</v>
      </c>
      <c r="N21" s="3"/>
      <c r="O21" s="134" t="b">
        <v>1</v>
      </c>
      <c r="P21" s="135">
        <v>0.0</v>
      </c>
      <c r="Q21" s="136"/>
      <c r="R21" s="136"/>
      <c r="S21" s="113"/>
      <c r="T21" s="113"/>
      <c r="U21" s="137" t="b">
        <v>0</v>
      </c>
      <c r="V21" s="135">
        <v>0.0</v>
      </c>
      <c r="W21" s="136"/>
      <c r="X21" s="136"/>
      <c r="Y21" s="129"/>
      <c r="Z21" s="109" t="s">
        <v>62</v>
      </c>
      <c r="AA21" s="138"/>
      <c r="AB21" s="139"/>
      <c r="AC21" s="109" t="s">
        <v>63</v>
      </c>
      <c r="AD21" s="138"/>
      <c r="AE21" s="139"/>
      <c r="AF21" s="109" t="s">
        <v>64</v>
      </c>
      <c r="AG21" s="138"/>
      <c r="AH21" s="139"/>
      <c r="AI21" s="33"/>
      <c r="AJ21" s="117"/>
      <c r="AK21" s="16"/>
      <c r="AL21" s="16"/>
      <c r="AM21" s="95">
        <v>8.0</v>
      </c>
      <c r="AN21" s="5"/>
      <c r="AO21" s="96"/>
      <c r="AP21" s="5"/>
      <c r="AQ21" s="96"/>
      <c r="AR21" s="5"/>
      <c r="AS21" s="97"/>
      <c r="AT21" s="5"/>
      <c r="AU21" s="97"/>
      <c r="AV21" s="5"/>
      <c r="AW21" s="95">
        <v>8.0</v>
      </c>
      <c r="AX21" s="5"/>
      <c r="AY21" s="98"/>
      <c r="AZ21" s="5"/>
      <c r="BA21" s="98"/>
      <c r="BB21" s="5"/>
      <c r="BC21" s="99"/>
      <c r="BD21" s="5"/>
      <c r="BE21" s="99"/>
      <c r="BF21" s="5"/>
      <c r="BM21" s="16"/>
      <c r="BN21" s="16"/>
      <c r="BO21" s="16"/>
      <c r="BP21" s="16"/>
      <c r="BQ21" s="16"/>
      <c r="BR21" s="16"/>
      <c r="BS21" s="16"/>
      <c r="BT21" s="16"/>
      <c r="BU21" s="16"/>
      <c r="BV21" s="16"/>
      <c r="BW21" s="16"/>
      <c r="BX21" s="16"/>
      <c r="BY21" s="16"/>
      <c r="BZ21" s="16"/>
    </row>
    <row r="22">
      <c r="A22" s="24"/>
      <c r="B22" s="18"/>
      <c r="C22" s="66" t="s">
        <v>65</v>
      </c>
      <c r="D22" s="5"/>
      <c r="E22" s="19"/>
      <c r="F22" s="3"/>
      <c r="G22" s="125">
        <v>0.0</v>
      </c>
      <c r="H22" s="131">
        <f>IF(M22="For",C13,IF(M22="Des",C18,IF(M22="Con",C23,IF(M22="Int",C28,IF(M22="Sab",C33,IF(M22="Car",C38,0)))))) + IF(G22="h",ROUNDDOWN(X3 * 0.5, 0),IF(G22=1,X3,IF(G22="m",X3*2,IF(G22="m1",X3+2,IF(G22="m2",X3+4,IF(G22="m3",X3+6,0))))))+Modificadores!B33+Modificadores!B51</f>
        <v>0</v>
      </c>
      <c r="I22" s="132" t="s">
        <v>66</v>
      </c>
      <c r="M22" s="128" t="s">
        <v>61</v>
      </c>
      <c r="O22" s="140">
        <f>AS25-AU25</f>
        <v>5</v>
      </c>
      <c r="P22" s="11"/>
      <c r="Q22" s="11"/>
      <c r="R22" s="12"/>
      <c r="S22" s="113"/>
      <c r="T22" s="113"/>
      <c r="U22" s="140">
        <f>BC25-BE25</f>
        <v>0</v>
      </c>
      <c r="V22" s="11"/>
      <c r="W22" s="11"/>
      <c r="X22" s="12"/>
      <c r="Y22" s="129"/>
      <c r="Z22" s="141"/>
      <c r="AA22" s="141"/>
      <c r="AB22" s="141"/>
      <c r="AC22" s="141"/>
      <c r="AD22" s="141"/>
      <c r="AE22" s="141"/>
      <c r="AF22" s="141"/>
      <c r="AG22" s="33"/>
      <c r="AH22" s="33"/>
      <c r="AI22" s="33"/>
      <c r="AJ22" s="117"/>
      <c r="AK22" s="16"/>
      <c r="AL22" s="16"/>
      <c r="AM22" s="95">
        <v>9.0</v>
      </c>
      <c r="AN22" s="5"/>
      <c r="AO22" s="96"/>
      <c r="AP22" s="5"/>
      <c r="AQ22" s="96"/>
      <c r="AR22" s="5"/>
      <c r="AS22" s="97"/>
      <c r="AT22" s="5"/>
      <c r="AU22" s="97"/>
      <c r="AV22" s="5"/>
      <c r="AW22" s="95">
        <v>9.0</v>
      </c>
      <c r="AX22" s="5"/>
      <c r="AY22" s="98"/>
      <c r="AZ22" s="5"/>
      <c r="BA22" s="98"/>
      <c r="BB22" s="5"/>
      <c r="BC22" s="99"/>
      <c r="BD22" s="5"/>
      <c r="BE22" s="99"/>
      <c r="BF22" s="5"/>
      <c r="BM22" s="16"/>
      <c r="BN22" s="16"/>
      <c r="BO22" s="16"/>
      <c r="BP22" s="16"/>
      <c r="BQ22" s="16"/>
      <c r="BR22" s="16"/>
      <c r="BS22" s="16"/>
      <c r="BT22" s="16"/>
      <c r="BU22" s="16"/>
      <c r="BV22" s="16"/>
      <c r="BW22" s="16"/>
      <c r="BX22" s="16"/>
      <c r="BY22" s="16"/>
      <c r="BZ22" s="16"/>
    </row>
    <row r="23">
      <c r="A23" s="24"/>
      <c r="B23" s="18"/>
      <c r="C23" s="70">
        <f>IF(C25&gt;=10,ROUNDDOWN((C25-10)/2,0),ROUNDUP((C25-10)/2,0))</f>
        <v>1</v>
      </c>
      <c r="D23" s="12"/>
      <c r="E23" s="19"/>
      <c r="F23" s="3"/>
      <c r="G23" s="125">
        <v>0.0</v>
      </c>
      <c r="H23" s="131">
        <f>IF(M23="For",C13,IF(M23="Des",C18,IF(M23="Con",C23,IF(M23="Int",C28,IF(M23="Sab",C33,IF(M23="Car",C38,0)))))) + IF(G23="h",ROUNDDOWN(X3 * 0.5, 0),IF(G23=1,X3,IF(G23="m",X3*2,IF(G23="m1",X3+2,IF(G23="m2",X3+4,IF(G23="m3",X3+6,0))))))+Modificadores!B34+Modificadores!B51</f>
        <v>3</v>
      </c>
      <c r="I23" s="132" t="s">
        <v>67</v>
      </c>
      <c r="M23" s="128" t="s">
        <v>68</v>
      </c>
      <c r="O23" s="21"/>
      <c r="P23" s="31"/>
      <c r="Q23" s="31"/>
      <c r="R23" s="22"/>
      <c r="S23" s="113"/>
      <c r="T23" s="113"/>
      <c r="U23" s="21"/>
      <c r="V23" s="31"/>
      <c r="W23" s="31"/>
      <c r="X23" s="22"/>
      <c r="Y23" s="142"/>
      <c r="Z23" s="143" t="s">
        <v>69</v>
      </c>
      <c r="AA23" s="115"/>
      <c r="AB23" s="115"/>
      <c r="AC23" s="115"/>
      <c r="AD23" s="116"/>
      <c r="AE23" s="144" t="s">
        <v>61</v>
      </c>
      <c r="AF23" s="116"/>
      <c r="AG23" s="145">
        <f>IF(AE23="For",C13,IF(AE23="Des",Ficha!C18,IF(AE23="Con",Ficha!C23,IF(AE23="Int",Ficha!C28,IF(AE23="Sab",Ficha!C33,Ficha!X16,IF(AE23="Car",Ficha!C38,Ficha!X16))))))+X3</f>
        <v>3</v>
      </c>
      <c r="AH23" s="116"/>
      <c r="AI23" s="33"/>
      <c r="AJ23" s="117"/>
      <c r="AK23" s="16"/>
      <c r="AL23" s="16"/>
      <c r="AM23" s="95">
        <v>10.0</v>
      </c>
      <c r="AN23" s="5"/>
      <c r="AO23" s="96"/>
      <c r="AP23" s="5"/>
      <c r="AQ23" s="96"/>
      <c r="AR23" s="5"/>
      <c r="AS23" s="97"/>
      <c r="AT23" s="5"/>
      <c r="AU23" s="97"/>
      <c r="AV23" s="5"/>
      <c r="AW23" s="95">
        <v>10.0</v>
      </c>
      <c r="AX23" s="5"/>
      <c r="AY23" s="98"/>
      <c r="AZ23" s="5"/>
      <c r="BA23" s="98"/>
      <c r="BB23" s="5"/>
      <c r="BC23" s="99"/>
      <c r="BD23" s="5"/>
      <c r="BE23" s="99"/>
      <c r="BF23" s="5"/>
      <c r="BM23" s="16"/>
      <c r="BN23" s="16"/>
      <c r="BO23" s="16"/>
      <c r="BP23" s="16"/>
      <c r="BQ23" s="16"/>
      <c r="BR23" s="16"/>
      <c r="BS23" s="16"/>
      <c r="BT23" s="16"/>
      <c r="BU23" s="16"/>
      <c r="BV23" s="16"/>
      <c r="BW23" s="16"/>
      <c r="BX23" s="16"/>
      <c r="BY23" s="16"/>
      <c r="BZ23" s="16"/>
    </row>
    <row r="24">
      <c r="A24" s="24"/>
      <c r="B24" s="18"/>
      <c r="C24" s="21"/>
      <c r="D24" s="22"/>
      <c r="E24" s="19"/>
      <c r="F24" s="3"/>
      <c r="G24" s="125">
        <v>1.0</v>
      </c>
      <c r="H24" s="131">
        <f>IF(M24="For",C13,IF(M24="Des",C18,IF(M24="Con",C23,IF(M24="Int",C28,IF(M24="Sab",C33,IF(M24="Car",C38,0)))))) + IF(G24="h",ROUNDDOWN(X3 * 0.5, 0),IF(G24=1,X3,IF(G24="m",X3*2,IF(G24="m1",X3+2,IF(G24="m2",X3+4,IF(G24="m3",X3+6,0))))))+Modificadores!B35+Modificadores!B51</f>
        <v>4</v>
      </c>
      <c r="I24" s="132" t="s">
        <v>70</v>
      </c>
      <c r="M24" s="128" t="s">
        <v>71</v>
      </c>
      <c r="O24" s="133" t="s">
        <v>72</v>
      </c>
      <c r="P24" s="7"/>
      <c r="Q24" s="7"/>
      <c r="R24" s="5"/>
      <c r="S24" s="146"/>
      <c r="T24" s="146"/>
      <c r="U24" s="133" t="s">
        <v>73</v>
      </c>
      <c r="V24" s="7"/>
      <c r="W24" s="7"/>
      <c r="X24" s="5"/>
      <c r="Y24" s="147"/>
      <c r="Z24" s="148" t="s">
        <v>74</v>
      </c>
      <c r="AA24" s="123"/>
      <c r="AB24" s="123"/>
      <c r="AC24" s="123"/>
      <c r="AD24" s="124"/>
      <c r="AE24" s="122"/>
      <c r="AF24" s="124"/>
      <c r="AG24" s="122"/>
      <c r="AH24" s="124"/>
      <c r="AI24" s="149"/>
      <c r="AJ24" s="150"/>
      <c r="AK24" s="16"/>
      <c r="AL24" s="16"/>
      <c r="AM24" s="77" t="s">
        <v>42</v>
      </c>
      <c r="AN24" s="5"/>
      <c r="AO24" s="151"/>
      <c r="AP24" s="5"/>
      <c r="AQ24" s="152">
        <v>10.0</v>
      </c>
      <c r="AR24" s="5"/>
      <c r="AS24" s="153"/>
      <c r="AT24" s="5"/>
      <c r="AU24" s="153"/>
      <c r="AV24" s="5"/>
      <c r="AW24" s="77" t="s">
        <v>42</v>
      </c>
      <c r="AX24" s="5"/>
      <c r="AY24" s="154"/>
      <c r="AZ24" s="5"/>
      <c r="BA24" s="154"/>
      <c r="BB24" s="5"/>
      <c r="BC24" s="155"/>
      <c r="BD24" s="5"/>
      <c r="BE24" s="155"/>
      <c r="BF24" s="5"/>
      <c r="BM24" s="16"/>
      <c r="BN24" s="16"/>
      <c r="BO24" s="16"/>
      <c r="BP24" s="16"/>
      <c r="BQ24" s="16"/>
      <c r="BR24" s="16"/>
      <c r="BS24" s="16"/>
      <c r="BT24" s="16"/>
      <c r="BU24" s="16"/>
      <c r="BV24" s="16"/>
      <c r="BW24" s="16"/>
      <c r="BX24" s="16"/>
      <c r="BY24" s="16"/>
      <c r="BZ24" s="16"/>
    </row>
    <row r="25">
      <c r="A25" s="24"/>
      <c r="B25" s="18"/>
      <c r="C25" s="156">
        <v>12.0</v>
      </c>
      <c r="D25" s="5"/>
      <c r="E25" s="19"/>
      <c r="F25" s="3"/>
      <c r="G25" s="125">
        <v>0.0</v>
      </c>
      <c r="H25" s="131">
        <f>IF(M25="For",C13,IF(M25="Des",C18,IF(M25="Con",C23,IF(M25="Int",C28,IF(M25="Sab",C33,IF(M25="Car",C38,0)))))) + IF(G25="h",ROUNDDOWN(X3 * 0.5, 0),IF(G25=1,X3,IF(G25="m",X3*2,IF(G25="m1",X3+2,IF(G25="m2",X3+4,IF(G25="m3",X3+6,0))))))+Modificadores!B36+Modificadores!B51</f>
        <v>2</v>
      </c>
      <c r="I25" s="132" t="s">
        <v>75</v>
      </c>
      <c r="M25" s="128" t="s">
        <v>76</v>
      </c>
      <c r="AK25" s="16"/>
      <c r="AL25" s="16"/>
      <c r="AM25" s="157" t="s">
        <v>77</v>
      </c>
      <c r="AN25" s="12"/>
      <c r="AO25" s="158">
        <f>SUM(AO13:AP23)</f>
        <v>0</v>
      </c>
      <c r="AP25" s="12"/>
      <c r="AQ25" s="158">
        <f>SUM(AQ13:AR23)</f>
        <v>0</v>
      </c>
      <c r="AR25" s="12"/>
      <c r="AS25" s="159">
        <f>SUM(AS13:AT23)</f>
        <v>5</v>
      </c>
      <c r="AT25" s="12"/>
      <c r="AU25" s="159">
        <f>SUM(AU13:AV23)</f>
        <v>0</v>
      </c>
      <c r="AV25" s="12"/>
      <c r="AW25" s="157" t="s">
        <v>77</v>
      </c>
      <c r="AX25" s="12"/>
      <c r="AY25" s="160">
        <f>SUM(AY13:AZ23)</f>
        <v>0</v>
      </c>
      <c r="AZ25" s="12"/>
      <c r="BA25" s="160">
        <f>SUM(BA13:BB23)</f>
        <v>6</v>
      </c>
      <c r="BB25" s="12"/>
      <c r="BC25" s="161">
        <f>SUM(BC13:BD23)</f>
        <v>0</v>
      </c>
      <c r="BD25" s="12"/>
      <c r="BE25" s="161">
        <f>SUM(BE13:BF23)</f>
        <v>0</v>
      </c>
      <c r="BF25" s="12"/>
      <c r="BM25" s="16"/>
      <c r="BN25" s="16"/>
      <c r="BO25" s="16"/>
      <c r="BP25" s="16"/>
      <c r="BQ25" s="16"/>
      <c r="BR25" s="16"/>
      <c r="BS25" s="16"/>
      <c r="BT25" s="16"/>
      <c r="BU25" s="16"/>
      <c r="BV25" s="16"/>
      <c r="BW25" s="16"/>
      <c r="BX25" s="16"/>
      <c r="BY25" s="16"/>
      <c r="BZ25" s="16"/>
    </row>
    <row r="26">
      <c r="A26" s="24"/>
      <c r="B26" s="18"/>
      <c r="C26" s="100">
        <v>0.0</v>
      </c>
      <c r="D26" s="11"/>
      <c r="E26" s="19"/>
      <c r="F26" s="3"/>
      <c r="G26" s="125">
        <v>1.0</v>
      </c>
      <c r="H26" s="131">
        <f>IF(M26="For",C13,IF(M26="Des",C18,IF(M26="Con",C23,IF(M26="Int",C28,IF(M26="Sab",C33,IF(M26="Car",C38,0)))))) + IF(G26="h",ROUNDDOWN(X3 * 0.5, 0),IF(G26=1,X3,IF(G26="m",X3*2,IF(G26="m1",X3+2,IF(G26="m2",X3+4,IF(G26="m3",X3+6,0))))))+Modificadores!B37+Modificadores!B51</f>
        <v>4</v>
      </c>
      <c r="I26" s="132" t="s">
        <v>78</v>
      </c>
      <c r="M26" s="128" t="s">
        <v>55</v>
      </c>
      <c r="T26" s="27" t="s">
        <v>79</v>
      </c>
      <c r="AK26" s="16"/>
      <c r="AL26" s="16"/>
      <c r="AM26" s="21"/>
      <c r="AN26" s="22"/>
      <c r="AO26" s="21"/>
      <c r="AP26" s="22"/>
      <c r="AQ26" s="21"/>
      <c r="AR26" s="22"/>
      <c r="AS26" s="21"/>
      <c r="AT26" s="22"/>
      <c r="AU26" s="21"/>
      <c r="AV26" s="22"/>
      <c r="AW26" s="21"/>
      <c r="AX26" s="22"/>
      <c r="AY26" s="21"/>
      <c r="AZ26" s="22"/>
      <c r="BA26" s="21"/>
      <c r="BB26" s="22"/>
      <c r="BC26" s="21"/>
      <c r="BD26" s="22"/>
      <c r="BE26" s="21"/>
      <c r="BF26" s="22"/>
      <c r="BK26" s="162"/>
      <c r="BM26" s="16"/>
      <c r="BN26" s="16"/>
      <c r="BO26" s="16"/>
      <c r="BP26" s="16"/>
      <c r="BQ26" s="16"/>
      <c r="BR26" s="16"/>
      <c r="BS26" s="16"/>
      <c r="BT26" s="16"/>
      <c r="BU26" s="16"/>
      <c r="BV26" s="16"/>
      <c r="BW26" s="16"/>
      <c r="BX26" s="16"/>
      <c r="BY26" s="16"/>
      <c r="BZ26" s="16"/>
    </row>
    <row r="27">
      <c r="A27" s="24"/>
      <c r="B27" s="18"/>
      <c r="C27" s="66" t="s">
        <v>80</v>
      </c>
      <c r="D27" s="5"/>
      <c r="E27" s="19"/>
      <c r="F27" s="3"/>
      <c r="G27" s="125">
        <v>0.0</v>
      </c>
      <c r="H27" s="131">
        <f>IF(M27="For",C13,IF(M27="Des",C18,IF(M27="Con",C23,IF(M27="Int",C28,IF(M27="Sab",C33,IF(M27="Car",C38,0)))))) + IF(G27="h",ROUNDDOWN(X3 * 0.5, 0),IF(G27=1,X3,IF(G27="m",X3*2,IF(G27="m1",X3+2,IF(G27="m2",X3+4,IF(G27="m3",X3+6,0))))))+Modificadores!B38+Modificadores!B51</f>
        <v>3</v>
      </c>
      <c r="I27" s="132" t="s">
        <v>81</v>
      </c>
      <c r="M27" s="128" t="s">
        <v>68</v>
      </c>
      <c r="T27" s="163" t="s">
        <v>82</v>
      </c>
      <c r="U27" s="7"/>
      <c r="V27" s="5"/>
      <c r="X27" s="163" t="s">
        <v>83</v>
      </c>
      <c r="Y27" s="7"/>
      <c r="Z27" s="5"/>
      <c r="AB27" s="163" t="s">
        <v>84</v>
      </c>
      <c r="AC27" s="5"/>
      <c r="AK27" s="16"/>
      <c r="AL27" s="16"/>
      <c r="AM27" s="164"/>
      <c r="AN27" s="11"/>
      <c r="AO27" s="11"/>
      <c r="AP27" s="11"/>
      <c r="AQ27" s="11"/>
      <c r="AR27" s="11"/>
      <c r="AS27" s="11"/>
      <c r="AT27" s="11"/>
      <c r="AU27" s="11"/>
      <c r="AV27" s="11"/>
      <c r="AW27" s="165"/>
      <c r="AX27" s="165"/>
      <c r="AY27" s="164"/>
      <c r="AZ27" s="164"/>
      <c r="BA27" s="164"/>
      <c r="BB27" s="164"/>
      <c r="BC27" s="164"/>
      <c r="BD27" s="164"/>
      <c r="BE27" s="164"/>
      <c r="BF27" s="164"/>
      <c r="BG27" s="166"/>
      <c r="BH27" s="166"/>
      <c r="BM27" s="16"/>
      <c r="BN27" s="16"/>
      <c r="BO27" s="16"/>
      <c r="BP27" s="16"/>
      <c r="BQ27" s="16"/>
      <c r="BR27" s="16"/>
      <c r="BS27" s="16"/>
      <c r="BT27" s="16"/>
      <c r="BU27" s="16"/>
      <c r="BV27" s="16"/>
      <c r="BW27" s="16"/>
      <c r="BX27" s="16"/>
      <c r="BY27" s="16"/>
      <c r="BZ27" s="16"/>
    </row>
    <row r="28">
      <c r="A28" s="24"/>
      <c r="B28" s="18"/>
      <c r="C28" s="70">
        <f>IF(C30&gt;=10,ROUNDDOWN((C30-10)/2,0),ROUNDUP((C30-10)/2,0))</f>
        <v>3</v>
      </c>
      <c r="D28" s="12"/>
      <c r="E28" s="19"/>
      <c r="F28" s="3"/>
      <c r="G28" s="125">
        <v>1.0</v>
      </c>
      <c r="H28" s="131">
        <f>IF(M28="For",C13,IF(M28="Des",C18,IF(M28="Con",C23,IF(M28="Int",C28,IF(M28="Sab",C33,IF(M28="Car",C38,0)))))) + IF(G28="h",ROUNDDOWN(X3 * 0.5, 0),IF(G28=1,X3,IF(G28="m",X3*2,IF(G28="m1",X3+2,IF(G28="m2",X3+4,IF(G28="m3",X3+6,0))))))+Modificadores!B39+Modificadores!B51</f>
        <v>3</v>
      </c>
      <c r="I28" s="132" t="s">
        <v>85</v>
      </c>
      <c r="M28" s="128" t="s">
        <v>57</v>
      </c>
      <c r="T28" s="17">
        <f>V3+Modificadores!B5</f>
        <v>1</v>
      </c>
      <c r="U28" s="167" t="s">
        <v>86</v>
      </c>
      <c r="V28" s="168">
        <f>VLOOKUP(M2,'Banco de Dados'!A237:AB249,27,0)</f>
        <v>8</v>
      </c>
      <c r="X28" s="17">
        <f>V3+Modificadores!F6</f>
        <v>1</v>
      </c>
      <c r="Y28" s="169" t="s">
        <v>86</v>
      </c>
      <c r="Z28" s="168">
        <f>VLOOKUP(M2,'Banco de Dados'!A237:AB249,28,0)</f>
        <v>10</v>
      </c>
      <c r="AB28" s="17" t="s">
        <v>86</v>
      </c>
      <c r="AC28" s="168">
        <v>4.0</v>
      </c>
      <c r="AK28" s="16"/>
      <c r="AL28" s="16"/>
      <c r="AM28" s="170" t="s">
        <v>87</v>
      </c>
      <c r="AN28" s="7"/>
      <c r="AO28" s="7"/>
      <c r="AP28" s="7"/>
      <c r="AQ28" s="7"/>
      <c r="AR28" s="7"/>
      <c r="AS28" s="7"/>
      <c r="AT28" s="7"/>
      <c r="AU28" s="7"/>
      <c r="AV28" s="7"/>
      <c r="AW28" s="7"/>
      <c r="AX28" s="7"/>
      <c r="AY28" s="7"/>
      <c r="AZ28" s="7"/>
      <c r="BA28" s="7"/>
      <c r="BB28" s="5"/>
      <c r="BG28" s="165"/>
      <c r="BH28" s="165"/>
      <c r="BM28" s="16"/>
      <c r="BN28" s="16"/>
      <c r="BO28" s="16"/>
      <c r="BP28" s="16"/>
      <c r="BQ28" s="16"/>
      <c r="BR28" s="16"/>
      <c r="BS28" s="16"/>
      <c r="BT28" s="16"/>
      <c r="BU28" s="16"/>
      <c r="BV28" s="16"/>
      <c r="BW28" s="16"/>
      <c r="BX28" s="16"/>
      <c r="BY28" s="16"/>
      <c r="BZ28" s="16"/>
    </row>
    <row r="29">
      <c r="A29" s="24"/>
      <c r="B29" s="18"/>
      <c r="C29" s="21"/>
      <c r="D29" s="22"/>
      <c r="E29" s="19"/>
      <c r="F29" s="3"/>
      <c r="G29" s="125">
        <v>0.0</v>
      </c>
      <c r="H29" s="131">
        <f>IF(M29="For",C13,IF(M29="Des",C18,IF(M29="Con",C23,IF(M29="Int",C28,IF(M29="Sab",C33,IF(M29="Car",C38,0)))))) + IF(G29="h",ROUNDDOWN(X3 * 0.5, 0),IF(G29=1,X3,IF(G29="m",X3*2,IF(G29="m1",X3+2,IF(G29="m2",X3+4,IF(G29="m3",X3+6,0))))))+Modificadores!B40+Modificadores!B51</f>
        <v>2</v>
      </c>
      <c r="I29" s="132" t="s">
        <v>88</v>
      </c>
      <c r="M29" s="128" t="s">
        <v>76</v>
      </c>
      <c r="T29" s="21"/>
      <c r="U29" s="31"/>
      <c r="V29" s="22"/>
      <c r="X29" s="21"/>
      <c r="Y29" s="31"/>
      <c r="Z29" s="22"/>
      <c r="AB29" s="21"/>
      <c r="AC29" s="22"/>
      <c r="AK29" s="16"/>
      <c r="AL29" s="16"/>
      <c r="AM29" s="171" t="s">
        <v>89</v>
      </c>
      <c r="AN29" s="5"/>
      <c r="AO29" s="171" t="s">
        <v>90</v>
      </c>
      <c r="AP29" s="5"/>
      <c r="AQ29" s="171" t="s">
        <v>91</v>
      </c>
      <c r="AR29" s="7"/>
      <c r="AS29" s="7"/>
      <c r="AT29" s="5"/>
      <c r="AU29" s="171" t="s">
        <v>89</v>
      </c>
      <c r="AV29" s="5"/>
      <c r="AW29" s="171" t="s">
        <v>90</v>
      </c>
      <c r="AX29" s="5"/>
      <c r="AY29" s="171" t="s">
        <v>91</v>
      </c>
      <c r="AZ29" s="7"/>
      <c r="BA29" s="7"/>
      <c r="BB29" s="5"/>
      <c r="BG29" s="165"/>
      <c r="BH29" s="165"/>
      <c r="BM29" s="16"/>
      <c r="BN29" s="16"/>
      <c r="BO29" s="16"/>
      <c r="BP29" s="16"/>
      <c r="BQ29" s="16"/>
      <c r="BR29" s="16"/>
      <c r="BS29" s="16"/>
      <c r="BT29" s="16"/>
      <c r="BU29" s="16"/>
      <c r="BV29" s="16"/>
      <c r="BW29" s="16"/>
      <c r="BX29" s="16"/>
      <c r="BY29" s="16"/>
      <c r="BZ29" s="16"/>
    </row>
    <row r="30">
      <c r="A30" s="24"/>
      <c r="B30" s="18"/>
      <c r="C30" s="94">
        <v>16.0</v>
      </c>
      <c r="D30" s="5"/>
      <c r="E30" s="19"/>
      <c r="F30" s="3"/>
      <c r="G30" s="125">
        <v>1.0</v>
      </c>
      <c r="H30" s="131">
        <f>IF(M30="For",C13,IF(M30="Des",C18,IF(M30="Con",C23,IF(M30="Int",C28,IF(M30="Sab",C33,IF(M30="Car",C38,0)))))) + IF(G30="h",ROUNDDOWN(X3 * 0.5, 0),IF(G30=1,X3,IF(G30="m",X3*2,IF(G30="m1",X3+2,IF(G30="m2",X3+4,IF(G30="m3",X3+6,0))))))+Modificadores!B41+Modificadores!B51</f>
        <v>3</v>
      </c>
      <c r="I30" s="132" t="s">
        <v>92</v>
      </c>
      <c r="M30" s="128" t="s">
        <v>57</v>
      </c>
      <c r="AK30" s="16"/>
      <c r="AL30" s="16"/>
      <c r="AM30" s="172" t="s">
        <v>93</v>
      </c>
      <c r="AN30" s="173" t="b">
        <v>0</v>
      </c>
      <c r="AO30" s="174">
        <v>1.0</v>
      </c>
      <c r="AP30" s="5"/>
      <c r="AQ30" s="175" t="s">
        <v>94</v>
      </c>
      <c r="AR30" s="7"/>
      <c r="AS30" s="7"/>
      <c r="AT30" s="5"/>
      <c r="AU30" s="176" t="s">
        <v>95</v>
      </c>
      <c r="AV30" s="177" t="b">
        <v>0</v>
      </c>
      <c r="AW30" s="178">
        <v>1.0</v>
      </c>
      <c r="AX30" s="5"/>
      <c r="AY30" s="179" t="s">
        <v>96</v>
      </c>
      <c r="AZ30" s="7"/>
      <c r="BA30" s="7"/>
      <c r="BB30" s="5"/>
      <c r="BP30" s="16"/>
      <c r="BQ30" s="16"/>
      <c r="BR30" s="16"/>
      <c r="BS30" s="16"/>
      <c r="BT30" s="16"/>
      <c r="BU30" s="16"/>
      <c r="BV30" s="16"/>
      <c r="BW30" s="16"/>
      <c r="BX30" s="16"/>
      <c r="BY30" s="16"/>
      <c r="BZ30" s="16"/>
    </row>
    <row r="31">
      <c r="A31" s="24"/>
      <c r="B31" s="18"/>
      <c r="C31" s="100">
        <v>0.0</v>
      </c>
      <c r="D31" s="11"/>
      <c r="E31" s="19"/>
      <c r="F31" s="3"/>
      <c r="G31" s="125">
        <v>0.0</v>
      </c>
      <c r="H31" s="131">
        <f>IF(M31="For",C13,IF(M31="Des",C18,IF(M31="Con",C23,IF(M31="Int",C28,IF(M31="Sab",C33,IF(M31="Car",C38,0)))))) + IF(G31="h",ROUNDDOWN(X3 * 0.5, 0),IF(G31=1,X3,IF(G31="m",X3*2,IF(G31="m1",X3+2,IF(G31="m2",X3+4,IF(G31="m3",X3+6,0))))))+Modificadores!B42+Modificadores!B51</f>
        <v>3</v>
      </c>
      <c r="I31" s="132" t="s">
        <v>97</v>
      </c>
      <c r="M31" s="128" t="s">
        <v>68</v>
      </c>
      <c r="AK31" s="16"/>
      <c r="AL31" s="16"/>
      <c r="AM31" s="113"/>
      <c r="AN31" s="177" t="b">
        <v>0</v>
      </c>
      <c r="AO31" s="178">
        <v>1.0</v>
      </c>
      <c r="AP31" s="5"/>
      <c r="AQ31" s="175" t="s">
        <v>98</v>
      </c>
      <c r="AR31" s="7"/>
      <c r="AS31" s="7"/>
      <c r="AT31" s="5"/>
      <c r="AU31" s="113"/>
      <c r="AV31" s="173" t="b">
        <v>0</v>
      </c>
      <c r="AW31" s="178">
        <v>1.0</v>
      </c>
      <c r="AX31" s="5"/>
      <c r="AY31" s="180" t="s">
        <v>99</v>
      </c>
      <c r="AZ31" s="7"/>
      <c r="BA31" s="7"/>
      <c r="BB31" s="5"/>
      <c r="BG31" s="165"/>
      <c r="BP31" s="16"/>
      <c r="BQ31" s="16"/>
      <c r="BR31" s="16"/>
      <c r="BS31" s="16"/>
      <c r="BT31" s="16"/>
      <c r="BU31" s="16"/>
      <c r="BV31" s="16"/>
      <c r="BW31" s="16"/>
      <c r="BX31" s="16"/>
      <c r="BY31" s="16"/>
      <c r="BZ31" s="16"/>
    </row>
    <row r="32">
      <c r="A32" s="24"/>
      <c r="B32" s="18"/>
      <c r="C32" s="66" t="s">
        <v>100</v>
      </c>
      <c r="D32" s="5"/>
      <c r="E32" s="19"/>
      <c r="F32" s="3"/>
      <c r="G32" s="125">
        <v>0.0</v>
      </c>
      <c r="H32" s="131">
        <f>IF(M32="For",C13,IF(M32="Des",C18,IF(M32="Con",C23,IF(M32="Int",C28,IF(M32="Sab",C33,IF(M32="Car",C38,0)))))) + IF(G32="h",ROUNDDOWN(X3 * 0.5, 0),IF(G32=1,X3,IF(G32="m",X3*2,IF(G32="m1",X3+2,IF(G32="m2",X3+4,IF(G32="m3",X3+6,0))))))+Modificadores!B43+Modificadores!B51</f>
        <v>0</v>
      </c>
      <c r="I32" s="132" t="s">
        <v>101</v>
      </c>
      <c r="M32" s="128" t="s">
        <v>57</v>
      </c>
      <c r="AK32" s="16"/>
      <c r="AL32" s="16"/>
      <c r="AM32" s="113"/>
      <c r="AN32" s="177" t="b">
        <v>0</v>
      </c>
      <c r="AO32" s="178">
        <v>1.0</v>
      </c>
      <c r="AP32" s="5"/>
      <c r="AQ32" s="181" t="s">
        <v>102</v>
      </c>
      <c r="AR32" s="7"/>
      <c r="AS32" s="7"/>
      <c r="AT32" s="5"/>
      <c r="AU32" s="113"/>
      <c r="AV32" s="177" t="b">
        <v>0</v>
      </c>
      <c r="AW32" s="178">
        <v>1.0</v>
      </c>
      <c r="AX32" s="5"/>
      <c r="AY32" s="179" t="s">
        <v>103</v>
      </c>
      <c r="AZ32" s="7"/>
      <c r="BA32" s="7"/>
      <c r="BB32" s="5"/>
      <c r="BG32" s="165"/>
      <c r="BP32" s="16"/>
      <c r="BQ32" s="16"/>
      <c r="BR32" s="16"/>
      <c r="BS32" s="16"/>
      <c r="BT32" s="16"/>
      <c r="BU32" s="16"/>
      <c r="BV32" s="16"/>
      <c r="BW32" s="16"/>
      <c r="BX32" s="16"/>
      <c r="BY32" s="16"/>
      <c r="BZ32" s="16"/>
    </row>
    <row r="33">
      <c r="A33" s="24"/>
      <c r="B33" s="18"/>
      <c r="C33" s="70">
        <f>IF(C35&gt;=10,ROUNDDOWN((C35-10)/2,0),ROUNDUP((C35-10)/2,0))</f>
        <v>0</v>
      </c>
      <c r="D33" s="12"/>
      <c r="E33" s="19"/>
      <c r="F33" s="3"/>
      <c r="G33" s="125">
        <v>0.0</v>
      </c>
      <c r="H33" s="131">
        <f>IF(M33="For",C13,IF(M33="Des",C18,IF(M33="Con",C23,IF(M33="Int",C28,IF(M33="Sab",C33,IF(M33="Car",C38,0)))))) + IF(G33="h",ROUNDDOWN(X3 * 0.5, 0),IF(G33=1,X3,IF(G33="m",X3*2,IF(G33="m1",X3+2,IF(G33="m2",X3+4,IF(G33="m3",X3+6,0))))))+Modificadores!B44+Modificadores!B51</f>
        <v>3</v>
      </c>
      <c r="I33" s="132" t="s">
        <v>104</v>
      </c>
      <c r="M33" s="128" t="s">
        <v>68</v>
      </c>
      <c r="AK33" s="16"/>
      <c r="AL33" s="16"/>
      <c r="AM33" s="113"/>
      <c r="AN33" s="177" t="b">
        <v>0</v>
      </c>
      <c r="AO33" s="178">
        <v>1.0</v>
      </c>
      <c r="AP33" s="5"/>
      <c r="AQ33" s="181" t="s">
        <v>105</v>
      </c>
      <c r="AR33" s="7"/>
      <c r="AS33" s="7"/>
      <c r="AT33" s="5"/>
      <c r="AU33" s="113"/>
      <c r="AV33" s="177" t="b">
        <v>0</v>
      </c>
      <c r="AW33" s="178">
        <v>1.0</v>
      </c>
      <c r="AX33" s="5"/>
      <c r="AY33" s="179" t="s">
        <v>106</v>
      </c>
      <c r="AZ33" s="7"/>
      <c r="BA33" s="7"/>
      <c r="BB33" s="5"/>
      <c r="BG33" s="165"/>
      <c r="BP33" s="16"/>
      <c r="BQ33" s="16"/>
      <c r="BR33" s="16"/>
      <c r="BS33" s="16"/>
      <c r="BT33" s="16"/>
      <c r="BU33" s="16"/>
      <c r="BV33" s="16"/>
      <c r="BW33" s="16"/>
      <c r="BX33" s="16"/>
      <c r="BY33" s="16"/>
      <c r="BZ33" s="16"/>
    </row>
    <row r="34">
      <c r="A34" s="24"/>
      <c r="B34" s="18"/>
      <c r="C34" s="21"/>
      <c r="D34" s="22"/>
      <c r="E34" s="19"/>
      <c r="F34" s="3"/>
      <c r="G34" s="125">
        <v>1.0</v>
      </c>
      <c r="H34" s="131">
        <f>IF(M34="For",C13,IF(M34="Des",C18,IF(M34="Con",C23,IF(M34="Int",C28,IF(M34="Sab",C33,IF(M34="Car",C38,0)))))) + IF(G34="h",ROUNDDOWN(X3 * 0.5, 0),IF(G34=1,X3,IF(G34="m",X3*2,IF(G34="m1",X3+2,IF(G34="m2",X3+4,IF(G34="m3",X3+6,0))))))+Modificadores!B45+Modificadores!B51</f>
        <v>6</v>
      </c>
      <c r="I34" s="182" t="s">
        <v>107</v>
      </c>
      <c r="M34" s="128" t="s">
        <v>68</v>
      </c>
      <c r="O34" s="183" t="s">
        <v>108</v>
      </c>
      <c r="P34" s="11"/>
      <c r="Q34" s="11"/>
      <c r="R34" s="11"/>
      <c r="S34" s="11"/>
      <c r="T34" s="11"/>
      <c r="U34" s="11"/>
      <c r="V34" s="11"/>
      <c r="W34" s="11"/>
      <c r="X34" s="11"/>
      <c r="Y34" s="11"/>
      <c r="Z34" s="11"/>
      <c r="AA34" s="11"/>
      <c r="AB34" s="11"/>
      <c r="AC34" s="11"/>
      <c r="AD34" s="11"/>
      <c r="AE34" s="11"/>
      <c r="AF34" s="11"/>
      <c r="AG34" s="11"/>
      <c r="AH34" s="11"/>
      <c r="AI34" s="11"/>
      <c r="AJ34" s="12"/>
      <c r="AK34" s="16"/>
      <c r="AL34" s="16"/>
      <c r="AM34" s="113"/>
      <c r="AN34" s="177" t="b">
        <v>0</v>
      </c>
      <c r="AO34" s="178">
        <v>1.0</v>
      </c>
      <c r="AP34" s="5"/>
      <c r="AQ34" s="181" t="s">
        <v>109</v>
      </c>
      <c r="AR34" s="7"/>
      <c r="AS34" s="7"/>
      <c r="AT34" s="5"/>
      <c r="AU34" s="146"/>
      <c r="AV34" s="177" t="b">
        <v>0</v>
      </c>
      <c r="AW34" s="178">
        <v>1.0</v>
      </c>
      <c r="AX34" s="5"/>
      <c r="AY34" s="179" t="s">
        <v>110</v>
      </c>
      <c r="AZ34" s="7"/>
      <c r="BA34" s="7"/>
      <c r="BB34" s="5"/>
      <c r="BG34" s="165"/>
      <c r="BP34" s="16"/>
      <c r="BQ34" s="16"/>
      <c r="BR34" s="16"/>
      <c r="BS34" s="16"/>
      <c r="BT34" s="16"/>
      <c r="BU34" s="16"/>
      <c r="BV34" s="16"/>
      <c r="BW34" s="16"/>
      <c r="BX34" s="16"/>
      <c r="BY34" s="16"/>
      <c r="BZ34" s="16"/>
    </row>
    <row r="35">
      <c r="A35" s="24"/>
      <c r="B35" s="18"/>
      <c r="C35" s="94">
        <v>11.0</v>
      </c>
      <c r="D35" s="5"/>
      <c r="E35" s="19"/>
      <c r="F35" s="3"/>
      <c r="G35" s="125">
        <v>1.0</v>
      </c>
      <c r="H35" s="131">
        <f>IF(M35="For",C13,IF(M35="Des",C18,IF(M35="Con",C23,IF(M35="Int",C28,IF(M35="Sab",C33,IF(M35="Car",C38,0)))))) + IF(G35="h",ROUNDDOWN(X3 * 0.5, 0),IF(G35=1,X3,IF(G35="m",X3*2,IF(G35="m1",X3+2,IF(G35="m2",X3+4,IF(G35="m3",X3+6,0))))))+Modificadores!B46+Modificadores!B51</f>
        <v>3</v>
      </c>
      <c r="I35" s="132" t="s">
        <v>111</v>
      </c>
      <c r="M35" s="128" t="s">
        <v>57</v>
      </c>
      <c r="O35" s="184" t="s">
        <v>112</v>
      </c>
      <c r="S35" s="185" t="s">
        <v>112</v>
      </c>
      <c r="W35" s="185" t="s">
        <v>112</v>
      </c>
      <c r="AA35" s="185" t="s">
        <v>112</v>
      </c>
      <c r="AE35" s="186"/>
      <c r="AI35" s="3"/>
      <c r="AJ35" s="117"/>
      <c r="AK35" s="16"/>
      <c r="AL35" s="16"/>
      <c r="AM35" s="113"/>
      <c r="AN35" s="187" t="b">
        <v>0</v>
      </c>
      <c r="AO35" s="178">
        <v>1.0</v>
      </c>
      <c r="AP35" s="5"/>
      <c r="AQ35" s="175" t="s">
        <v>113</v>
      </c>
      <c r="AR35" s="7"/>
      <c r="AS35" s="7"/>
      <c r="AT35" s="5"/>
      <c r="AU35" s="188" t="s">
        <v>114</v>
      </c>
      <c r="AV35" s="189" t="b">
        <v>0</v>
      </c>
      <c r="AW35" s="178">
        <v>1.0</v>
      </c>
      <c r="AX35" s="5"/>
      <c r="AY35" s="181" t="s">
        <v>115</v>
      </c>
      <c r="AZ35" s="7"/>
      <c r="BA35" s="7"/>
      <c r="BB35" s="5"/>
      <c r="BG35" s="165"/>
      <c r="BP35" s="16"/>
      <c r="BQ35" s="16"/>
      <c r="BR35" s="16"/>
      <c r="BS35" s="16"/>
      <c r="BT35" s="16"/>
      <c r="BU35" s="16"/>
      <c r="BV35" s="16"/>
      <c r="BW35" s="16"/>
      <c r="BX35" s="16"/>
      <c r="BY35" s="16"/>
      <c r="BZ35" s="16"/>
    </row>
    <row r="36">
      <c r="A36" s="24"/>
      <c r="B36" s="18"/>
      <c r="C36" s="100">
        <v>0.0</v>
      </c>
      <c r="D36" s="11"/>
      <c r="E36" s="19"/>
      <c r="F36" s="3"/>
      <c r="G36" s="125">
        <v>0.0</v>
      </c>
      <c r="H36" s="131">
        <f>IF(M36="For",C13,IF(M36="Des",C18,IF(M36="Con",C23,IF(M36="Int",C28,IF(M36="Sab",C33,IF(M36="Car",C38,0)))))) + IF(G36="h",ROUNDDOWN(X3 * 0.5, 0),IF(G36=1,X3,IF(G36="m",X3*2,IF(G36="m1",X3+2,IF(G36="m2",X3+4,IF(G36="m3",X3+6,0))))))+Modificadores!B47+Modificadores!B51</f>
        <v>2</v>
      </c>
      <c r="I36" s="132" t="s">
        <v>116</v>
      </c>
      <c r="M36" s="128" t="s">
        <v>76</v>
      </c>
      <c r="O36" s="190"/>
      <c r="P36" s="191">
        <f>H34+10</f>
        <v>16</v>
      </c>
      <c r="Q36" s="11"/>
      <c r="R36" s="192"/>
      <c r="S36" s="192"/>
      <c r="T36" s="191">
        <f>H29+10</f>
        <v>12</v>
      </c>
      <c r="U36" s="11"/>
      <c r="V36" s="192"/>
      <c r="W36" s="192"/>
      <c r="X36" s="191">
        <f>H27+10</f>
        <v>13</v>
      </c>
      <c r="Y36" s="11"/>
      <c r="Z36" s="192"/>
      <c r="AA36" s="192"/>
      <c r="AB36" s="191">
        <f>H38+10</f>
        <v>11</v>
      </c>
      <c r="AC36" s="11"/>
      <c r="AD36" s="192"/>
      <c r="AE36" s="192"/>
      <c r="AF36" s="193"/>
      <c r="AG36" s="11"/>
      <c r="AH36" s="192"/>
      <c r="AI36" s="3"/>
      <c r="AJ36" s="117"/>
      <c r="AK36" s="16"/>
      <c r="AL36" s="16"/>
      <c r="AM36" s="113"/>
      <c r="AN36" s="187" t="b">
        <v>0</v>
      </c>
      <c r="AO36" s="178">
        <v>1.0</v>
      </c>
      <c r="AP36" s="5"/>
      <c r="AQ36" s="175" t="s">
        <v>117</v>
      </c>
      <c r="AR36" s="7"/>
      <c r="AS36" s="7"/>
      <c r="AT36" s="5"/>
      <c r="AU36" s="113"/>
      <c r="AV36" s="189" t="b">
        <v>0</v>
      </c>
      <c r="AW36" s="194">
        <v>1.0</v>
      </c>
      <c r="AX36" s="5"/>
      <c r="AY36" s="175" t="s">
        <v>118</v>
      </c>
      <c r="AZ36" s="7"/>
      <c r="BA36" s="7"/>
      <c r="BB36" s="5"/>
      <c r="BG36" s="165"/>
      <c r="BP36" s="16"/>
      <c r="BQ36" s="16"/>
      <c r="BR36" s="16"/>
      <c r="BS36" s="16"/>
      <c r="BT36" s="16"/>
      <c r="BU36" s="16"/>
      <c r="BV36" s="16"/>
      <c r="BW36" s="16"/>
      <c r="BX36" s="16"/>
      <c r="BY36" s="16"/>
      <c r="BZ36" s="16"/>
    </row>
    <row r="37">
      <c r="A37" s="24"/>
      <c r="B37" s="18"/>
      <c r="C37" s="195" t="s">
        <v>119</v>
      </c>
      <c r="D37" s="12"/>
      <c r="E37" s="19"/>
      <c r="F37" s="3"/>
      <c r="G37" s="125">
        <v>0.0</v>
      </c>
      <c r="H37" s="131">
        <f>IF(M37="For",C13,IF(M37="Des",C18,IF(M37="Con",C23,IF(M37="Int",C28,IF(M37="Sab",C33,IF(M37="Car",C38,0)))))) + IF(G37="h",ROUNDDOWN(X3 * 0.5, 0),IF(G37=1,X3,IF(G37="m",X3*2,IF(G37="m1",X3+2,IF(G37="m2",X3+4,IF(G37="m3",X3+6,0))))))+Modificadores!B48+Modificadores!B51</f>
        <v>2</v>
      </c>
      <c r="I37" s="132" t="s">
        <v>120</v>
      </c>
      <c r="M37" s="128" t="s">
        <v>76</v>
      </c>
      <c r="O37" s="18"/>
      <c r="P37" s="31"/>
      <c r="Q37" s="31"/>
      <c r="T37" s="31"/>
      <c r="U37" s="31"/>
      <c r="X37" s="31"/>
      <c r="Y37" s="31"/>
      <c r="AB37" s="31"/>
      <c r="AC37" s="31"/>
      <c r="AF37" s="31"/>
      <c r="AG37" s="31"/>
      <c r="AI37" s="3"/>
      <c r="AJ37" s="117"/>
      <c r="AK37" s="16"/>
      <c r="AL37" s="16"/>
      <c r="AM37" s="146"/>
      <c r="AN37" s="187" t="b">
        <v>0</v>
      </c>
      <c r="AO37" s="178">
        <v>1.0</v>
      </c>
      <c r="AP37" s="5"/>
      <c r="AQ37" s="181" t="s">
        <v>121</v>
      </c>
      <c r="AR37" s="7"/>
      <c r="AS37" s="7"/>
      <c r="AT37" s="5"/>
      <c r="AU37" s="113"/>
      <c r="AV37" s="189" t="b">
        <v>0</v>
      </c>
      <c r="AW37" s="178">
        <v>1.0</v>
      </c>
      <c r="AX37" s="5"/>
      <c r="AY37" s="181" t="s">
        <v>122</v>
      </c>
      <c r="AZ37" s="7"/>
      <c r="BA37" s="7"/>
      <c r="BB37" s="5"/>
      <c r="BG37" s="165"/>
      <c r="BP37" s="16"/>
      <c r="BQ37" s="16"/>
      <c r="BR37" s="16"/>
      <c r="BS37" s="16"/>
      <c r="BT37" s="16"/>
      <c r="BU37" s="16"/>
      <c r="BV37" s="16"/>
      <c r="BW37" s="16"/>
      <c r="BX37" s="16"/>
      <c r="BY37" s="16"/>
      <c r="BZ37" s="16"/>
    </row>
    <row r="38">
      <c r="A38" s="24"/>
      <c r="B38" s="18"/>
      <c r="C38" s="70">
        <f>IF(C40&gt;=10,ROUNDDOWN((C40-10)/2,0),ROUNDUP((C40-10)/2,0))</f>
        <v>2</v>
      </c>
      <c r="D38" s="12"/>
      <c r="E38" s="19"/>
      <c r="F38" s="3"/>
      <c r="G38" s="125">
        <v>0.0</v>
      </c>
      <c r="H38" s="131">
        <f>IF(M38="For",C13,IF(M38="Des",C18,IF(M38="Con",C23,IF(M38="Int",C28,IF(M38="Sab",C33,IF(M38="Car",C38,0)))))) + IF(G38="h",ROUNDDOWN(X3 * 0.5, 0),IF(G38=1,X3,IF(G38="m",X3*2,IF(G38="m1",X3+2,IF(G38="m2",X3+4,IF(G38="m3",X3+6,0))))))+Modificadores!B49+Modificadores!B51</f>
        <v>1</v>
      </c>
      <c r="I38" s="132" t="s">
        <v>123</v>
      </c>
      <c r="M38" s="128" t="s">
        <v>55</v>
      </c>
      <c r="O38" s="184" t="s">
        <v>124</v>
      </c>
      <c r="S38" s="185" t="s">
        <v>125</v>
      </c>
      <c r="W38" s="186" t="s">
        <v>126</v>
      </c>
      <c r="AA38" s="185" t="s">
        <v>127</v>
      </c>
      <c r="AE38" s="186"/>
      <c r="AI38" s="3"/>
      <c r="AJ38" s="117"/>
      <c r="AK38" s="16"/>
      <c r="AM38" s="196" t="s">
        <v>128</v>
      </c>
      <c r="AN38" s="177" t="b">
        <v>0</v>
      </c>
      <c r="AO38" s="178">
        <v>1.0</v>
      </c>
      <c r="AP38" s="5"/>
      <c r="AQ38" s="181" t="s">
        <v>129</v>
      </c>
      <c r="AR38" s="7"/>
      <c r="AS38" s="7"/>
      <c r="AT38" s="5"/>
      <c r="AU38" s="113"/>
      <c r="AV38" s="197" t="b">
        <v>0</v>
      </c>
      <c r="AW38" s="178">
        <v>1.0</v>
      </c>
      <c r="AX38" s="5"/>
      <c r="AY38" s="181" t="s">
        <v>130</v>
      </c>
      <c r="AZ38" s="7"/>
      <c r="BA38" s="7"/>
      <c r="BB38" s="5"/>
      <c r="BD38" s="33"/>
      <c r="BE38" s="33"/>
      <c r="BF38" s="33"/>
      <c r="BG38" s="165"/>
      <c r="BP38" s="16"/>
      <c r="BQ38" s="16"/>
      <c r="BR38" s="16"/>
      <c r="BS38" s="16"/>
      <c r="BT38" s="16"/>
      <c r="BU38" s="16"/>
      <c r="BV38" s="16"/>
      <c r="BW38" s="16"/>
      <c r="BX38" s="16"/>
      <c r="BY38" s="16"/>
      <c r="BZ38" s="16"/>
    </row>
    <row r="39">
      <c r="A39" s="24"/>
      <c r="B39" s="18"/>
      <c r="C39" s="21"/>
      <c r="D39" s="22"/>
      <c r="E39" s="19"/>
      <c r="F39" s="3"/>
      <c r="G39" s="125">
        <v>0.0</v>
      </c>
      <c r="H39" s="131">
        <f>IF(M39="For",C13,IF(M39="Des",C18,IF(M39="Con",C23,IF(M39="Int",C28,IF(M39="Sab",C33,IF(M39="Car",C38,0)))))) + IF(G39="h",ROUNDDOWN(X3 * 0.5, 0),IF(G39=1,X3,IF(G39="m",X3*2,IF(G39="m1",X3+2,IF(G39="m2",X3+4,IF(G39="m3",X3+6,0))))))+Modificadores!B50+Modificadores!B51</f>
        <v>0</v>
      </c>
      <c r="I39" s="132" t="s">
        <v>131</v>
      </c>
      <c r="M39" s="128" t="s">
        <v>57</v>
      </c>
      <c r="O39" s="198"/>
      <c r="P39" s="31"/>
      <c r="Q39" s="31"/>
      <c r="R39" s="31"/>
      <c r="S39" s="31"/>
      <c r="T39" s="31"/>
      <c r="U39" s="31"/>
      <c r="V39" s="31"/>
      <c r="W39" s="31"/>
      <c r="X39" s="31"/>
      <c r="Y39" s="31"/>
      <c r="Z39" s="31"/>
      <c r="AA39" s="31"/>
      <c r="AB39" s="31"/>
      <c r="AC39" s="31"/>
      <c r="AD39" s="31"/>
      <c r="AE39" s="31"/>
      <c r="AF39" s="31"/>
      <c r="AG39" s="31"/>
      <c r="AH39" s="31"/>
      <c r="AI39" s="31"/>
      <c r="AJ39" s="22"/>
      <c r="AK39" s="16"/>
      <c r="AM39" s="113"/>
      <c r="AN39" s="177" t="b">
        <v>0</v>
      </c>
      <c r="AO39" s="178">
        <v>1.0</v>
      </c>
      <c r="AP39" s="5"/>
      <c r="AQ39" s="181" t="s">
        <v>132</v>
      </c>
      <c r="AR39" s="7"/>
      <c r="AS39" s="7"/>
      <c r="AT39" s="5"/>
      <c r="AU39" s="199" t="s">
        <v>133</v>
      </c>
      <c r="AV39" s="200" t="b">
        <v>0</v>
      </c>
      <c r="AW39" s="201">
        <v>1.0</v>
      </c>
      <c r="AX39" s="5"/>
      <c r="AY39" s="202" t="s">
        <v>134</v>
      </c>
      <c r="AZ39" s="7"/>
      <c r="BA39" s="7"/>
      <c r="BB39" s="5"/>
      <c r="BD39" s="33"/>
      <c r="BP39" s="16"/>
      <c r="BQ39" s="16"/>
      <c r="BR39" s="16"/>
      <c r="BS39" s="16"/>
      <c r="BT39" s="16"/>
      <c r="BU39" s="16"/>
      <c r="BV39" s="16"/>
      <c r="BW39" s="16"/>
      <c r="BX39" s="16"/>
      <c r="BY39" s="16"/>
      <c r="BZ39" s="16"/>
    </row>
    <row r="40">
      <c r="A40" s="24"/>
      <c r="B40" s="18"/>
      <c r="C40" s="94">
        <v>14.0</v>
      </c>
      <c r="D40" s="5"/>
      <c r="E40" s="19"/>
      <c r="F40" s="3"/>
      <c r="G40" s="203"/>
      <c r="H40" s="204" t="s">
        <v>135</v>
      </c>
      <c r="I40" s="31"/>
      <c r="J40" s="31"/>
      <c r="K40" s="31"/>
      <c r="L40" s="31"/>
      <c r="M40" s="22"/>
      <c r="O40" s="8" t="s">
        <v>136</v>
      </c>
      <c r="P40" s="7"/>
      <c r="Q40" s="7"/>
      <c r="R40" s="7"/>
      <c r="S40" s="7"/>
      <c r="T40" s="7"/>
      <c r="U40" s="7"/>
      <c r="V40" s="7"/>
      <c r="W40" s="7"/>
      <c r="X40" s="7"/>
      <c r="Y40" s="7"/>
      <c r="Z40" s="7"/>
      <c r="AA40" s="7"/>
      <c r="AB40" s="7"/>
      <c r="AC40" s="7"/>
      <c r="AD40" s="7"/>
      <c r="AE40" s="7"/>
      <c r="AF40" s="7"/>
      <c r="AG40" s="7"/>
      <c r="AH40" s="7"/>
      <c r="AI40" s="7"/>
      <c r="AJ40" s="5"/>
      <c r="AK40" s="16"/>
      <c r="AM40" s="113"/>
      <c r="AN40" s="189" t="b">
        <v>0</v>
      </c>
      <c r="AO40" s="194">
        <v>1.0</v>
      </c>
      <c r="AP40" s="5"/>
      <c r="AQ40" s="175" t="s">
        <v>137</v>
      </c>
      <c r="AR40" s="7"/>
      <c r="AS40" s="7"/>
      <c r="AT40" s="5"/>
      <c r="AU40" s="113"/>
      <c r="AV40" s="205" t="b">
        <v>0</v>
      </c>
      <c r="AW40" s="201">
        <v>1.0</v>
      </c>
      <c r="AX40" s="5"/>
      <c r="AY40" s="202" t="s">
        <v>138</v>
      </c>
      <c r="AZ40" s="7"/>
      <c r="BA40" s="7"/>
      <c r="BB40" s="5"/>
      <c r="BD40" s="33"/>
      <c r="BP40" s="16"/>
      <c r="BQ40" s="16"/>
      <c r="BR40" s="16"/>
      <c r="BS40" s="16"/>
      <c r="BT40" s="16"/>
      <c r="BU40" s="16"/>
      <c r="BV40" s="16"/>
      <c r="BW40" s="16"/>
      <c r="BX40" s="16"/>
      <c r="BY40" s="16"/>
      <c r="BZ40" s="16"/>
    </row>
    <row r="41">
      <c r="A41" s="24"/>
      <c r="B41" s="206"/>
      <c r="C41" s="100">
        <v>0.0</v>
      </c>
      <c r="D41" s="11"/>
      <c r="E41" s="207"/>
      <c r="F41" s="3"/>
      <c r="G41" s="208" t="s">
        <v>139</v>
      </c>
      <c r="H41" s="11"/>
      <c r="I41" s="11"/>
      <c r="J41" s="11"/>
      <c r="K41" s="11"/>
      <c r="L41" s="11"/>
      <c r="M41" s="12"/>
      <c r="O41" s="209"/>
      <c r="P41" s="210" t="s">
        <v>140</v>
      </c>
      <c r="Q41" s="11"/>
      <c r="R41" s="11"/>
      <c r="S41" s="11"/>
      <c r="T41" s="11"/>
      <c r="U41" s="11"/>
      <c r="V41" s="11"/>
      <c r="W41" s="210" t="s">
        <v>5</v>
      </c>
      <c r="X41" s="11"/>
      <c r="Y41" s="210" t="s">
        <v>141</v>
      </c>
      <c r="Z41" s="11"/>
      <c r="AA41" s="210" t="s">
        <v>142</v>
      </c>
      <c r="AB41" s="11"/>
      <c r="AC41" s="11"/>
      <c r="AD41" s="11"/>
      <c r="AE41" s="11"/>
      <c r="AF41" s="11"/>
      <c r="AG41" s="11"/>
      <c r="AH41" s="11"/>
      <c r="AI41" s="11"/>
      <c r="AJ41" s="211"/>
      <c r="AK41" s="16"/>
      <c r="AM41" s="113"/>
      <c r="AN41" s="189" t="b">
        <v>0</v>
      </c>
      <c r="AO41" s="194">
        <v>1.0</v>
      </c>
      <c r="AP41" s="5"/>
      <c r="AQ41" s="179" t="s">
        <v>143</v>
      </c>
      <c r="AR41" s="7"/>
      <c r="AS41" s="7"/>
      <c r="AT41" s="5"/>
      <c r="AU41" s="113"/>
      <c r="AV41" s="205" t="b">
        <v>0</v>
      </c>
      <c r="AW41" s="178">
        <v>1.0</v>
      </c>
      <c r="AX41" s="5"/>
      <c r="AY41" s="212" t="s">
        <v>144</v>
      </c>
      <c r="AZ41" s="7"/>
      <c r="BA41" s="7"/>
      <c r="BB41" s="5"/>
      <c r="BD41" s="33"/>
      <c r="BP41" s="16"/>
      <c r="BQ41" s="16"/>
      <c r="BR41" s="16"/>
      <c r="BS41" s="16"/>
      <c r="BT41" s="16"/>
      <c r="BU41" s="16"/>
      <c r="BV41" s="16"/>
      <c r="BW41" s="16"/>
      <c r="BX41" s="16"/>
      <c r="BY41" s="16"/>
      <c r="BZ41" s="16"/>
    </row>
    <row r="42">
      <c r="A42" s="24"/>
      <c r="B42" s="213"/>
      <c r="C42" s="31"/>
      <c r="D42" s="31"/>
      <c r="E42" s="22"/>
      <c r="F42" s="3"/>
      <c r="G42" s="18"/>
      <c r="M42" s="19"/>
      <c r="O42" s="214"/>
      <c r="P42" s="215" t="s">
        <v>145</v>
      </c>
      <c r="Q42" s="216"/>
      <c r="R42" s="216"/>
      <c r="S42" s="216"/>
      <c r="T42" s="216"/>
      <c r="U42" s="216"/>
      <c r="V42" s="216"/>
      <c r="W42" s="217" t="b">
        <v>0</v>
      </c>
      <c r="X42" s="216"/>
      <c r="Y42" s="218" t="str">
        <f>VLOOKUP(P42,'Banco de Dados'!A46:AQ118,8,0)</f>
        <v>1d4</v>
      </c>
      <c r="Z42" s="216"/>
      <c r="AA42" s="219" t="str">
        <f>VLOOKUP(P42,'Banco de Dados'!A46:AQ118,35,0)</f>
        <v>Leve, Sutileza, Arremesso (30/60), Múltiplo ataque, munição</v>
      </c>
      <c r="AB42" s="216"/>
      <c r="AC42" s="216"/>
      <c r="AD42" s="216"/>
      <c r="AE42" s="216"/>
      <c r="AF42" s="216"/>
      <c r="AG42" s="216"/>
      <c r="AH42" s="216"/>
      <c r="AI42" s="216"/>
      <c r="AJ42" s="220"/>
      <c r="AK42" s="16"/>
      <c r="AM42" s="113"/>
      <c r="AN42" s="189" t="b">
        <v>0</v>
      </c>
      <c r="AO42" s="194">
        <v>1.0</v>
      </c>
      <c r="AP42" s="5"/>
      <c r="AQ42" s="179" t="s">
        <v>146</v>
      </c>
      <c r="AR42" s="7"/>
      <c r="AS42" s="7"/>
      <c r="AT42" s="5"/>
      <c r="AU42" s="113"/>
      <c r="AV42" s="205" t="b">
        <v>0</v>
      </c>
      <c r="AW42" s="201">
        <v>1.0</v>
      </c>
      <c r="AX42" s="5"/>
      <c r="AY42" s="202" t="s">
        <v>147</v>
      </c>
      <c r="AZ42" s="7"/>
      <c r="BA42" s="7"/>
      <c r="BB42" s="5"/>
      <c r="BG42" s="165"/>
      <c r="BP42" s="16"/>
      <c r="BQ42" s="16"/>
      <c r="BR42" s="16"/>
      <c r="BS42" s="16"/>
      <c r="BT42" s="16"/>
      <c r="BU42" s="16"/>
      <c r="BV42" s="16"/>
      <c r="BW42" s="16"/>
      <c r="BX42" s="16"/>
      <c r="BY42" s="16"/>
      <c r="BZ42" s="16"/>
    </row>
    <row r="43">
      <c r="A43" s="3"/>
      <c r="B43" s="3"/>
      <c r="C43" s="3"/>
      <c r="D43" s="3"/>
      <c r="E43" s="3"/>
      <c r="F43" s="3"/>
      <c r="G43" s="21"/>
      <c r="H43" s="31"/>
      <c r="I43" s="31"/>
      <c r="J43" s="31"/>
      <c r="K43" s="31"/>
      <c r="L43" s="31"/>
      <c r="M43" s="22"/>
      <c r="N43" s="3"/>
      <c r="O43" s="214"/>
      <c r="P43" s="221" t="s">
        <v>148</v>
      </c>
      <c r="Q43" s="216"/>
      <c r="R43" s="216"/>
      <c r="S43" s="216"/>
      <c r="T43" s="216"/>
      <c r="U43" s="216"/>
      <c r="V43" s="216"/>
      <c r="W43" s="222" t="b">
        <v>0</v>
      </c>
      <c r="X43" s="216"/>
      <c r="Y43" s="223" t="str">
        <f>VLOOKUP(P43,'Banco de Dados'!A47:AQ119,8,0)</f>
        <v>1d4</v>
      </c>
      <c r="Z43" s="216"/>
      <c r="AA43" s="224" t="str">
        <f>VLOOKUP(P43,'Banco de Dados'!A47:AQ119,35,0)</f>
        <v>Arremesso (30/120), Múltiplo ataque, munição</v>
      </c>
      <c r="AB43" s="216"/>
      <c r="AC43" s="216"/>
      <c r="AD43" s="216"/>
      <c r="AE43" s="216"/>
      <c r="AF43" s="216"/>
      <c r="AG43" s="216"/>
      <c r="AH43" s="216"/>
      <c r="AI43" s="216"/>
      <c r="AJ43" s="220"/>
      <c r="AK43" s="16"/>
      <c r="AM43" s="113"/>
      <c r="AN43" s="189" t="b">
        <v>0</v>
      </c>
      <c r="AO43" s="194">
        <v>1.0</v>
      </c>
      <c r="AP43" s="5"/>
      <c r="AQ43" s="179" t="s">
        <v>149</v>
      </c>
      <c r="AR43" s="7"/>
      <c r="AS43" s="7"/>
      <c r="AT43" s="5"/>
      <c r="AU43" s="146"/>
      <c r="AV43" s="205" t="b">
        <v>0</v>
      </c>
      <c r="AW43" s="201">
        <v>1.0</v>
      </c>
      <c r="AX43" s="5"/>
      <c r="AY43" s="202" t="s">
        <v>150</v>
      </c>
      <c r="AZ43" s="7"/>
      <c r="BA43" s="7"/>
      <c r="BB43" s="5"/>
      <c r="BG43" s="165"/>
      <c r="BP43" s="16"/>
      <c r="BQ43" s="16"/>
      <c r="BR43" s="16"/>
      <c r="BS43" s="16"/>
      <c r="BT43" s="16"/>
      <c r="BU43" s="16"/>
      <c r="BV43" s="16"/>
      <c r="BW43" s="16"/>
      <c r="BX43" s="16"/>
      <c r="BY43" s="16"/>
      <c r="BZ43" s="16"/>
    </row>
    <row r="44">
      <c r="A44" s="3"/>
      <c r="B44" s="225" t="s">
        <v>151</v>
      </c>
      <c r="C44" s="11"/>
      <c r="D44" s="11"/>
      <c r="E44" s="11"/>
      <c r="F44" s="226" t="s">
        <v>152</v>
      </c>
      <c r="G44" s="227"/>
      <c r="H44" s="227"/>
      <c r="I44" s="227"/>
      <c r="J44" s="227"/>
      <c r="K44" s="227"/>
      <c r="L44" s="227"/>
      <c r="M44" s="228"/>
      <c r="N44" s="3"/>
      <c r="O44" s="214"/>
      <c r="P44" s="215" t="s">
        <v>153</v>
      </c>
      <c r="Q44" s="216"/>
      <c r="R44" s="216"/>
      <c r="S44" s="216"/>
      <c r="T44" s="216"/>
      <c r="U44" s="216"/>
      <c r="V44" s="216"/>
      <c r="W44" s="229" t="b">
        <v>0</v>
      </c>
      <c r="X44" s="216"/>
      <c r="Y44" s="218" t="str">
        <f>VLOOKUP(P44,'Banco de Dados'!A48:AQ120,8,0)</f>
        <v>1d6</v>
      </c>
      <c r="Z44" s="216"/>
      <c r="AA44" s="219" t="str">
        <f>VLOOKUP(P44,'Banco de Dados'!A48:AQ120,35,0)</f>
        <v>Leve, Sutileza, Mortal, Flexível (Cortante d4)</v>
      </c>
      <c r="AB44" s="216"/>
      <c r="AC44" s="216"/>
      <c r="AD44" s="216"/>
      <c r="AE44" s="216"/>
      <c r="AF44" s="216"/>
      <c r="AG44" s="216"/>
      <c r="AH44" s="216"/>
      <c r="AI44" s="216"/>
      <c r="AJ44" s="220"/>
      <c r="AK44" s="16"/>
      <c r="AM44" s="113"/>
      <c r="AN44" s="189" t="b">
        <v>0</v>
      </c>
      <c r="AO44" s="194">
        <v>1.0</v>
      </c>
      <c r="AP44" s="5"/>
      <c r="AQ44" s="181" t="s">
        <v>154</v>
      </c>
      <c r="AR44" s="7"/>
      <c r="AS44" s="7"/>
      <c r="AT44" s="5"/>
      <c r="AU44" s="230"/>
      <c r="AV44" s="230"/>
      <c r="AW44" s="230"/>
      <c r="AX44" s="230"/>
      <c r="AY44" s="230"/>
      <c r="AZ44" s="230"/>
      <c r="BA44" s="230"/>
      <c r="BB44" s="230"/>
      <c r="BG44" s="165"/>
      <c r="BH44" s="165"/>
      <c r="BI44" s="16"/>
      <c r="BJ44" s="16"/>
      <c r="BK44" s="16"/>
      <c r="BL44" s="16"/>
      <c r="BM44" s="16"/>
      <c r="BN44" s="16"/>
      <c r="BO44" s="16"/>
      <c r="BP44" s="16"/>
      <c r="BQ44" s="16"/>
      <c r="BR44" s="16"/>
      <c r="BS44" s="16"/>
      <c r="BT44" s="16"/>
      <c r="BU44" s="16"/>
      <c r="BV44" s="16"/>
      <c r="BW44" s="16"/>
      <c r="BX44" s="16"/>
      <c r="BY44" s="16"/>
      <c r="BZ44" s="16"/>
    </row>
    <row r="45">
      <c r="A45" s="3"/>
      <c r="B45" s="21"/>
      <c r="C45" s="31"/>
      <c r="D45" s="31"/>
      <c r="E45" s="31"/>
      <c r="F45" s="231"/>
      <c r="G45" s="232"/>
      <c r="H45" s="232"/>
      <c r="I45" s="232"/>
      <c r="J45" s="232"/>
      <c r="K45" s="232"/>
      <c r="L45" s="232"/>
      <c r="M45" s="233"/>
      <c r="N45" s="3"/>
      <c r="O45" s="214"/>
      <c r="P45" s="221" t="s">
        <v>155</v>
      </c>
      <c r="Q45" s="216"/>
      <c r="R45" s="216"/>
      <c r="S45" s="216"/>
      <c r="T45" s="216"/>
      <c r="U45" s="216"/>
      <c r="V45" s="216"/>
      <c r="W45" s="222" t="b">
        <v>0</v>
      </c>
      <c r="X45" s="216"/>
      <c r="Y45" s="223" t="str">
        <f>VLOOKUP(P45,'Banco de Dados'!A49:AQ121,8,0)</f>
        <v/>
      </c>
      <c r="Z45" s="216"/>
      <c r="AA45" s="224" t="str">
        <f>VLOOKUP(P45,'Banco de Dados'!A49:AQ121,35,0)</f>
        <v/>
      </c>
      <c r="AB45" s="216"/>
      <c r="AC45" s="216"/>
      <c r="AD45" s="216"/>
      <c r="AE45" s="216"/>
      <c r="AF45" s="216"/>
      <c r="AG45" s="216"/>
      <c r="AH45" s="216"/>
      <c r="AI45" s="216"/>
      <c r="AJ45" s="220"/>
      <c r="AK45" s="16"/>
      <c r="AL45" s="16"/>
      <c r="AM45" s="113"/>
      <c r="AN45" s="234" t="b">
        <v>0</v>
      </c>
      <c r="AO45" s="194">
        <v>1.0</v>
      </c>
      <c r="AP45" s="5"/>
      <c r="AQ45" s="179" t="s">
        <v>156</v>
      </c>
      <c r="AR45" s="7"/>
      <c r="AS45" s="7"/>
      <c r="AT45" s="5"/>
      <c r="AU45" s="230"/>
      <c r="AV45" s="235" t="s">
        <v>157</v>
      </c>
      <c r="AW45" s="230"/>
      <c r="AX45" s="230"/>
      <c r="AY45" s="230"/>
      <c r="AZ45" s="230"/>
      <c r="BA45" s="230"/>
      <c r="BB45" s="230"/>
      <c r="BG45" s="165"/>
      <c r="BH45" s="165"/>
      <c r="BI45" s="16"/>
      <c r="BJ45" s="16"/>
      <c r="BK45" s="16"/>
      <c r="BL45" s="16"/>
      <c r="BM45" s="16"/>
      <c r="BN45" s="16"/>
      <c r="BO45" s="16"/>
      <c r="BP45" s="16"/>
      <c r="BQ45" s="16"/>
      <c r="BR45" s="16"/>
      <c r="BS45" s="16"/>
      <c r="BT45" s="16"/>
      <c r="BU45" s="16"/>
      <c r="BV45" s="16"/>
      <c r="BW45" s="16"/>
      <c r="BX45" s="16"/>
      <c r="BY45" s="16"/>
      <c r="BZ45" s="16"/>
    </row>
    <row r="46">
      <c r="A46" s="3"/>
      <c r="B46" s="225" t="s">
        <v>158</v>
      </c>
      <c r="C46" s="11"/>
      <c r="D46" s="11"/>
      <c r="E46" s="11"/>
      <c r="F46" s="226" t="s">
        <v>159</v>
      </c>
      <c r="G46" s="227"/>
      <c r="H46" s="227"/>
      <c r="I46" s="227"/>
      <c r="J46" s="227"/>
      <c r="K46" s="227"/>
      <c r="L46" s="227"/>
      <c r="M46" s="228"/>
      <c r="N46" s="3"/>
      <c r="O46" s="214"/>
      <c r="P46" s="215" t="s">
        <v>155</v>
      </c>
      <c r="Q46" s="216"/>
      <c r="R46" s="216"/>
      <c r="S46" s="216"/>
      <c r="T46" s="216"/>
      <c r="U46" s="216"/>
      <c r="V46" s="216"/>
      <c r="W46" s="229" t="b">
        <v>0</v>
      </c>
      <c r="X46" s="216"/>
      <c r="Y46" s="218" t="str">
        <f>VLOOKUP(P46,'Banco de Dados'!A50:AQ122,8,0)</f>
        <v/>
      </c>
      <c r="Z46" s="216"/>
      <c r="AA46" s="219" t="str">
        <f>VLOOKUP(P46,'Banco de Dados'!A50:AQ122,35,0)</f>
        <v/>
      </c>
      <c r="AB46" s="216"/>
      <c r="AC46" s="216"/>
      <c r="AD46" s="216"/>
      <c r="AE46" s="216"/>
      <c r="AF46" s="216"/>
      <c r="AG46" s="216"/>
      <c r="AH46" s="216"/>
      <c r="AI46" s="216"/>
      <c r="AJ46" s="220"/>
      <c r="AK46" s="16"/>
      <c r="AL46" s="16"/>
      <c r="AM46" s="146"/>
      <c r="AN46" s="189" t="b">
        <v>0</v>
      </c>
      <c r="AO46" s="194">
        <v>1.0</v>
      </c>
      <c r="AP46" s="5"/>
      <c r="AQ46" s="179" t="s">
        <v>160</v>
      </c>
      <c r="AR46" s="7"/>
      <c r="AS46" s="7"/>
      <c r="AT46" s="5"/>
      <c r="AU46" s="230"/>
      <c r="AV46" s="230"/>
      <c r="AW46" s="230"/>
      <c r="AX46" s="230"/>
      <c r="AY46" s="230"/>
      <c r="AZ46" s="230"/>
      <c r="BA46" s="230"/>
      <c r="BB46" s="230"/>
      <c r="BG46" s="165"/>
      <c r="BH46" s="165"/>
      <c r="BI46" s="16"/>
      <c r="BJ46" s="16"/>
      <c r="BK46" s="16"/>
      <c r="BL46" s="16"/>
      <c r="BM46" s="16"/>
      <c r="BN46" s="16"/>
      <c r="BO46" s="16"/>
      <c r="BP46" s="16"/>
      <c r="BQ46" s="16"/>
      <c r="BR46" s="16"/>
      <c r="BS46" s="16"/>
      <c r="BT46" s="16"/>
      <c r="BU46" s="16"/>
      <c r="BV46" s="16"/>
      <c r="BW46" s="16"/>
      <c r="BX46" s="16"/>
      <c r="BY46" s="16"/>
      <c r="BZ46" s="16"/>
    </row>
    <row r="47">
      <c r="A47" s="3"/>
      <c r="B47" s="21"/>
      <c r="C47" s="31"/>
      <c r="D47" s="31"/>
      <c r="E47" s="31"/>
      <c r="F47" s="231"/>
      <c r="G47" s="232"/>
      <c r="H47" s="232"/>
      <c r="I47" s="232"/>
      <c r="J47" s="232"/>
      <c r="K47" s="232"/>
      <c r="L47" s="232"/>
      <c r="M47" s="233"/>
      <c r="N47" s="3"/>
      <c r="O47" s="214"/>
      <c r="P47" s="221" t="s">
        <v>155</v>
      </c>
      <c r="Q47" s="216"/>
      <c r="R47" s="216"/>
      <c r="S47" s="216"/>
      <c r="T47" s="216"/>
      <c r="U47" s="216"/>
      <c r="V47" s="216"/>
      <c r="W47" s="222" t="b">
        <v>0</v>
      </c>
      <c r="X47" s="216"/>
      <c r="Y47" s="223" t="str">
        <f>VLOOKUP(P47,'Banco de Dados'!A51:AQ123,8,0)</f>
        <v/>
      </c>
      <c r="Z47" s="216"/>
      <c r="AA47" s="224" t="str">
        <f>VLOOKUP(P47,'Banco de Dados'!A51:AQ123,35,0)</f>
        <v/>
      </c>
      <c r="AB47" s="216"/>
      <c r="AC47" s="216"/>
      <c r="AD47" s="216"/>
      <c r="AE47" s="216"/>
      <c r="AF47" s="216"/>
      <c r="AG47" s="216"/>
      <c r="AH47" s="216"/>
      <c r="AI47" s="216"/>
      <c r="AJ47" s="220"/>
      <c r="AK47" s="16"/>
      <c r="AL47" s="16"/>
      <c r="AU47" s="230"/>
      <c r="AV47" s="230"/>
      <c r="AW47" s="230"/>
      <c r="AX47" s="230"/>
      <c r="AY47" s="230"/>
      <c r="AZ47" s="230"/>
      <c r="BA47" s="230"/>
      <c r="BB47" s="230"/>
      <c r="BG47" s="165"/>
      <c r="BH47" s="165"/>
      <c r="BI47" s="16"/>
      <c r="BJ47" s="16"/>
      <c r="BK47" s="16"/>
      <c r="BL47" s="16"/>
      <c r="BM47" s="16"/>
      <c r="BN47" s="16"/>
      <c r="BO47" s="16"/>
      <c r="BP47" s="16"/>
      <c r="BQ47" s="16"/>
      <c r="BR47" s="16"/>
      <c r="BS47" s="16"/>
      <c r="BT47" s="16"/>
      <c r="BU47" s="16"/>
      <c r="BV47" s="16"/>
      <c r="BW47" s="16"/>
      <c r="BX47" s="16"/>
      <c r="BY47" s="16"/>
      <c r="BZ47" s="16"/>
    </row>
    <row r="48">
      <c r="A48" s="3"/>
      <c r="B48" s="225" t="s">
        <v>161</v>
      </c>
      <c r="C48" s="11"/>
      <c r="D48" s="11"/>
      <c r="E48" s="11"/>
      <c r="F48" s="226" t="s">
        <v>162</v>
      </c>
      <c r="G48" s="227"/>
      <c r="H48" s="227"/>
      <c r="I48" s="227"/>
      <c r="J48" s="227"/>
      <c r="K48" s="227"/>
      <c r="L48" s="227"/>
      <c r="M48" s="228"/>
      <c r="N48" s="3"/>
      <c r="O48" s="45"/>
      <c r="P48" s="215" t="s">
        <v>155</v>
      </c>
      <c r="Q48" s="216"/>
      <c r="R48" s="216"/>
      <c r="S48" s="216"/>
      <c r="T48" s="216"/>
      <c r="U48" s="216"/>
      <c r="V48" s="216"/>
      <c r="W48" s="229" t="b">
        <v>0</v>
      </c>
      <c r="X48" s="216"/>
      <c r="Y48" s="218" t="str">
        <f>VLOOKUP(P48,'Banco de Dados'!A52:AQ124,8,0)</f>
        <v/>
      </c>
      <c r="Z48" s="216"/>
      <c r="AA48" s="219" t="str">
        <f>VLOOKUP(P48,'Banco de Dados'!A52:AQ124,35,0)</f>
        <v/>
      </c>
      <c r="AB48" s="216"/>
      <c r="AC48" s="216"/>
      <c r="AD48" s="216"/>
      <c r="AE48" s="216"/>
      <c r="AF48" s="216"/>
      <c r="AG48" s="216"/>
      <c r="AH48" s="216"/>
      <c r="AI48" s="216"/>
      <c r="AJ48" s="117"/>
      <c r="AK48" s="16"/>
      <c r="AL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row>
    <row r="49">
      <c r="A49" s="3"/>
      <c r="B49" s="21"/>
      <c r="C49" s="31"/>
      <c r="D49" s="31"/>
      <c r="E49" s="31"/>
      <c r="F49" s="231"/>
      <c r="G49" s="232"/>
      <c r="H49" s="232"/>
      <c r="I49" s="232"/>
      <c r="J49" s="232"/>
      <c r="K49" s="232"/>
      <c r="L49" s="232"/>
      <c r="M49" s="233"/>
      <c r="N49" s="3"/>
      <c r="O49" s="236"/>
      <c r="P49" s="31"/>
      <c r="Q49" s="31"/>
      <c r="R49" s="31"/>
      <c r="S49" s="31"/>
      <c r="T49" s="31"/>
      <c r="U49" s="31"/>
      <c r="V49" s="31"/>
      <c r="W49" s="31"/>
      <c r="X49" s="31"/>
      <c r="Y49" s="31"/>
      <c r="Z49" s="31"/>
      <c r="AA49" s="31"/>
      <c r="AB49" s="31"/>
      <c r="AC49" s="31"/>
      <c r="AD49" s="31"/>
      <c r="AE49" s="31"/>
      <c r="AF49" s="31"/>
      <c r="AG49" s="31"/>
      <c r="AH49" s="31"/>
      <c r="AI49" s="31"/>
      <c r="AJ49" s="22"/>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row>
    <row r="50">
      <c r="A50" s="3"/>
      <c r="B50" s="3"/>
      <c r="C50" s="24"/>
      <c r="D50" s="24"/>
      <c r="E50" s="24"/>
      <c r="F50" s="24"/>
      <c r="G50" s="24"/>
      <c r="H50" s="24"/>
      <c r="I50" s="24"/>
      <c r="J50" s="24"/>
      <c r="K50" s="24"/>
      <c r="L50" s="24"/>
      <c r="M50" s="24"/>
      <c r="N50" s="3"/>
      <c r="O50" s="236" t="s">
        <v>163</v>
      </c>
      <c r="P50" s="31"/>
      <c r="Q50" s="31"/>
      <c r="R50" s="31"/>
      <c r="S50" s="31"/>
      <c r="T50" s="31"/>
      <c r="U50" s="31"/>
      <c r="V50" s="31"/>
      <c r="W50" s="31"/>
      <c r="X50" s="31"/>
      <c r="Y50" s="31"/>
      <c r="Z50" s="31"/>
      <c r="AA50" s="31"/>
      <c r="AB50" s="31"/>
      <c r="AC50" s="31"/>
      <c r="AD50" s="31"/>
      <c r="AE50" s="31"/>
      <c r="AF50" s="31"/>
      <c r="AG50" s="31"/>
      <c r="AH50" s="31"/>
      <c r="AI50" s="31"/>
      <c r="AJ50" s="22"/>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row>
    <row r="51">
      <c r="A51" s="3"/>
      <c r="B51" s="237" t="s">
        <v>164</v>
      </c>
      <c r="C51" s="11"/>
      <c r="D51" s="11"/>
      <c r="E51" s="11"/>
      <c r="F51" s="238"/>
      <c r="G51" s="227"/>
      <c r="H51" s="227"/>
      <c r="I51" s="227"/>
      <c r="J51" s="227"/>
      <c r="K51" s="227"/>
      <c r="L51" s="227"/>
      <c r="M51" s="228"/>
      <c r="N51" s="3"/>
      <c r="O51" s="45"/>
      <c r="P51" s="239" t="s">
        <v>165</v>
      </c>
      <c r="Q51" s="7"/>
      <c r="R51" s="5"/>
      <c r="S51" s="240">
        <v>0.0</v>
      </c>
      <c r="T51" s="7"/>
      <c r="U51" s="5"/>
      <c r="V51" s="241"/>
      <c r="W51" s="239" t="s">
        <v>166</v>
      </c>
      <c r="X51" s="7"/>
      <c r="Y51" s="7"/>
      <c r="Z51" s="5"/>
      <c r="AA51" s="240">
        <v>0.0</v>
      </c>
      <c r="AB51" s="7"/>
      <c r="AC51" s="5"/>
      <c r="AD51" s="241"/>
      <c r="AE51" s="239" t="s">
        <v>167</v>
      </c>
      <c r="AF51" s="7"/>
      <c r="AG51" s="5"/>
      <c r="AH51" s="242">
        <v>0.0</v>
      </c>
      <c r="AI51" s="5"/>
      <c r="AJ51" s="117"/>
      <c r="AK51" s="16"/>
      <c r="AL51" s="16"/>
      <c r="AM51" s="16"/>
      <c r="AN51" s="16"/>
      <c r="AO51" s="33"/>
      <c r="AP51" s="33"/>
      <c r="AQ51" s="33"/>
      <c r="AR51" s="33"/>
      <c r="AS51" s="33"/>
      <c r="AT51" s="33"/>
      <c r="AU51" s="33"/>
      <c r="AV51" s="243"/>
      <c r="AX51" s="243"/>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row>
    <row r="52">
      <c r="A52" s="3"/>
      <c r="B52" s="21"/>
      <c r="C52" s="31"/>
      <c r="D52" s="31"/>
      <c r="E52" s="31"/>
      <c r="F52" s="231"/>
      <c r="G52" s="232"/>
      <c r="H52" s="232"/>
      <c r="I52" s="232"/>
      <c r="J52" s="232"/>
      <c r="K52" s="232"/>
      <c r="L52" s="232"/>
      <c r="M52" s="233"/>
      <c r="N52" s="3"/>
      <c r="O52" s="45"/>
      <c r="P52" s="239" t="s">
        <v>168</v>
      </c>
      <c r="Q52" s="7"/>
      <c r="R52" s="5"/>
      <c r="S52" s="240">
        <f>SUM('Registro e Inventário'!AI43:AK55)</f>
        <v>0</v>
      </c>
      <c r="T52" s="7"/>
      <c r="U52" s="5"/>
      <c r="V52" s="231"/>
      <c r="W52" s="239" t="s">
        <v>169</v>
      </c>
      <c r="X52" s="7"/>
      <c r="Y52" s="7"/>
      <c r="Z52" s="5"/>
      <c r="AA52" s="240">
        <v>0.0</v>
      </c>
      <c r="AB52" s="7"/>
      <c r="AC52" s="5"/>
      <c r="AD52" s="231"/>
      <c r="AE52" s="239" t="s">
        <v>170</v>
      </c>
      <c r="AF52" s="7"/>
      <c r="AG52" s="5"/>
      <c r="AH52" s="240">
        <v>0.0</v>
      </c>
      <c r="AI52" s="5"/>
      <c r="AJ52" s="117"/>
      <c r="AK52" s="16"/>
      <c r="AL52" s="16"/>
      <c r="AM52" s="16"/>
      <c r="AN52" s="16"/>
      <c r="AO52" s="33"/>
      <c r="AP52" s="33"/>
      <c r="AQ52" s="33"/>
      <c r="AR52" s="33"/>
      <c r="AS52" s="33"/>
      <c r="AT52" s="33"/>
      <c r="AU52" s="33"/>
      <c r="AV52" s="244"/>
      <c r="AX52" s="245"/>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row>
    <row r="53">
      <c r="A53" s="3"/>
      <c r="B53" s="237" t="s">
        <v>171</v>
      </c>
      <c r="C53" s="11"/>
      <c r="D53" s="11"/>
      <c r="E53" s="11"/>
      <c r="F53" s="238"/>
      <c r="G53" s="227"/>
      <c r="H53" s="227"/>
      <c r="I53" s="227"/>
      <c r="J53" s="227"/>
      <c r="K53" s="227"/>
      <c r="L53" s="227"/>
      <c r="M53" s="228"/>
      <c r="N53" s="3"/>
      <c r="O53" s="45"/>
      <c r="P53" s="239" t="s">
        <v>172</v>
      </c>
      <c r="Q53" s="7"/>
      <c r="R53" s="5"/>
      <c r="S53" s="240">
        <f>S51-S52</f>
        <v>0</v>
      </c>
      <c r="T53" s="7"/>
      <c r="U53" s="5"/>
      <c r="V53" s="241"/>
      <c r="W53" s="239" t="s">
        <v>173</v>
      </c>
      <c r="X53" s="7"/>
      <c r="Y53" s="7"/>
      <c r="Z53" s="5"/>
      <c r="AA53" s="240">
        <f>AA51-AA52</f>
        <v>0</v>
      </c>
      <c r="AB53" s="7"/>
      <c r="AC53" s="5"/>
      <c r="AD53" s="241"/>
      <c r="AE53" s="239" t="s">
        <v>174</v>
      </c>
      <c r="AF53" s="7"/>
      <c r="AG53" s="5"/>
      <c r="AH53" s="242">
        <f>AH51-AH52</f>
        <v>0</v>
      </c>
      <c r="AI53" s="5"/>
      <c r="AJ53" s="117"/>
      <c r="AK53" s="16"/>
      <c r="AL53" s="16"/>
      <c r="AM53" s="16"/>
      <c r="AN53" s="16"/>
      <c r="AO53" s="243"/>
      <c r="AV53" s="243"/>
      <c r="AX53" s="24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row>
    <row r="54">
      <c r="A54" s="3"/>
      <c r="B54" s="21"/>
      <c r="C54" s="31"/>
      <c r="D54" s="31"/>
      <c r="E54" s="31"/>
      <c r="F54" s="231"/>
      <c r="G54" s="232"/>
      <c r="H54" s="232"/>
      <c r="I54" s="232"/>
      <c r="J54" s="232"/>
      <c r="K54" s="232"/>
      <c r="L54" s="232"/>
      <c r="M54" s="233"/>
      <c r="N54" s="3"/>
      <c r="O54" s="198"/>
      <c r="AJ54" s="247"/>
      <c r="AK54" s="16"/>
      <c r="AL54" s="16"/>
      <c r="AM54" s="16"/>
      <c r="AN54" s="16"/>
      <c r="AO54" s="248"/>
      <c r="AV54" s="249"/>
      <c r="AX54" s="33"/>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row>
    <row r="55">
      <c r="A55" s="3"/>
      <c r="B55" s="237" t="s">
        <v>175</v>
      </c>
      <c r="C55" s="11"/>
      <c r="D55" s="11"/>
      <c r="E55" s="11"/>
      <c r="F55" s="238"/>
      <c r="G55" s="227"/>
      <c r="H55" s="227"/>
      <c r="I55" s="227"/>
      <c r="J55" s="227"/>
      <c r="K55" s="227"/>
      <c r="L55" s="227"/>
      <c r="M55" s="228"/>
      <c r="N55" s="3"/>
      <c r="O55" s="250"/>
      <c r="P55" s="251" t="s">
        <v>176</v>
      </c>
      <c r="Q55" s="7"/>
      <c r="R55" s="7"/>
      <c r="S55" s="7"/>
      <c r="T55" s="7"/>
      <c r="U55" s="7"/>
      <c r="V55" s="7"/>
      <c r="W55" s="7"/>
      <c r="X55" s="5"/>
      <c r="Y55" s="252"/>
      <c r="Z55" s="251" t="s">
        <v>177</v>
      </c>
      <c r="AA55" s="7"/>
      <c r="AB55" s="7"/>
      <c r="AC55" s="7"/>
      <c r="AD55" s="7"/>
      <c r="AE55" s="7"/>
      <c r="AF55" s="7"/>
      <c r="AG55" s="7"/>
      <c r="AH55" s="5"/>
      <c r="AI55" s="252"/>
      <c r="AJ55" s="110"/>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row>
    <row r="56">
      <c r="A56" s="3"/>
      <c r="B56" s="21"/>
      <c r="C56" s="31"/>
      <c r="D56" s="31"/>
      <c r="E56" s="31"/>
      <c r="F56" s="231"/>
      <c r="G56" s="232"/>
      <c r="H56" s="232"/>
      <c r="I56" s="232"/>
      <c r="J56" s="232"/>
      <c r="K56" s="232"/>
      <c r="L56" s="232"/>
      <c r="M56" s="233"/>
      <c r="N56" s="3"/>
      <c r="O56" s="190"/>
      <c r="P56" s="253" t="s">
        <v>178</v>
      </c>
      <c r="Q56" s="5"/>
      <c r="R56" s="254"/>
      <c r="S56" s="7"/>
      <c r="T56" s="7"/>
      <c r="U56" s="7"/>
      <c r="V56" s="7"/>
      <c r="W56" s="7"/>
      <c r="X56" s="5"/>
      <c r="Y56" s="3"/>
      <c r="Z56" s="253" t="s">
        <v>179</v>
      </c>
      <c r="AA56" s="5"/>
      <c r="AB56" s="254"/>
      <c r="AC56" s="7"/>
      <c r="AD56" s="7"/>
      <c r="AE56" s="7"/>
      <c r="AF56" s="7"/>
      <c r="AG56" s="7"/>
      <c r="AH56" s="5"/>
      <c r="AI56" s="3"/>
      <c r="AJ56" s="117"/>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row>
    <row r="57">
      <c r="A57" s="3"/>
      <c r="B57" s="3"/>
      <c r="M57" s="3"/>
      <c r="N57" s="3"/>
      <c r="O57" s="18"/>
      <c r="P57" s="190"/>
      <c r="Q57" s="255" t="s">
        <v>180</v>
      </c>
      <c r="R57" s="7"/>
      <c r="S57" s="7"/>
      <c r="T57" s="7"/>
      <c r="U57" s="5"/>
      <c r="V57" s="256"/>
      <c r="W57" s="7"/>
      <c r="X57" s="5"/>
      <c r="Y57" s="3"/>
      <c r="Z57" s="190"/>
      <c r="AA57" s="255" t="s">
        <v>180</v>
      </c>
      <c r="AB57" s="7"/>
      <c r="AC57" s="7"/>
      <c r="AD57" s="7"/>
      <c r="AE57" s="5"/>
      <c r="AF57" s="256"/>
      <c r="AG57" s="7"/>
      <c r="AH57" s="5"/>
      <c r="AI57" s="3"/>
      <c r="AJ57" s="117"/>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row>
    <row r="58">
      <c r="A58" s="3"/>
      <c r="B58" s="3"/>
      <c r="C58" s="3"/>
      <c r="D58" s="3"/>
      <c r="E58" s="3"/>
      <c r="F58" s="3"/>
      <c r="G58" s="3"/>
      <c r="H58" s="3"/>
      <c r="I58" s="3"/>
      <c r="J58" s="3"/>
      <c r="K58" s="3"/>
      <c r="L58" s="3"/>
      <c r="M58" s="3"/>
      <c r="N58" s="3"/>
      <c r="O58" s="190"/>
      <c r="P58" s="190"/>
      <c r="Q58" s="257" t="s">
        <v>181</v>
      </c>
      <c r="R58" s="7"/>
      <c r="S58" s="7"/>
      <c r="T58" s="7"/>
      <c r="U58" s="5"/>
      <c r="V58" s="256"/>
      <c r="W58" s="7"/>
      <c r="X58" s="5"/>
      <c r="Y58" s="3"/>
      <c r="Z58" s="190"/>
      <c r="AA58" s="257" t="s">
        <v>181</v>
      </c>
      <c r="AB58" s="7"/>
      <c r="AC58" s="7"/>
      <c r="AD58" s="7"/>
      <c r="AE58" s="5"/>
      <c r="AF58" s="256"/>
      <c r="AG58" s="7"/>
      <c r="AH58" s="5"/>
      <c r="AI58" s="3"/>
      <c r="AJ58" s="117"/>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row>
    <row r="59">
      <c r="O59" s="21"/>
      <c r="P59" s="198"/>
      <c r="Q59" s="255" t="s">
        <v>182</v>
      </c>
      <c r="R59" s="7"/>
      <c r="S59" s="7"/>
      <c r="T59" s="7"/>
      <c r="U59" s="5"/>
      <c r="V59" s="256"/>
      <c r="W59" s="7"/>
      <c r="X59" s="5"/>
      <c r="Y59" s="112"/>
      <c r="Z59" s="198"/>
      <c r="AA59" s="255" t="s">
        <v>182</v>
      </c>
      <c r="AB59" s="7"/>
      <c r="AC59" s="7"/>
      <c r="AD59" s="7"/>
      <c r="AE59" s="5"/>
      <c r="AF59" s="256"/>
      <c r="AG59" s="7"/>
      <c r="AH59" s="5"/>
      <c r="AI59" s="112"/>
      <c r="AJ59" s="247"/>
    </row>
    <row r="60">
      <c r="A60" s="3"/>
      <c r="B60" s="3"/>
      <c r="C60" s="3"/>
      <c r="D60" s="3"/>
      <c r="E60" s="3"/>
      <c r="F60" s="3"/>
      <c r="G60" s="3"/>
      <c r="H60" s="3"/>
      <c r="I60" s="3"/>
      <c r="J60" s="3"/>
      <c r="K60" s="3"/>
      <c r="L60" s="3"/>
      <c r="M60" s="3"/>
      <c r="N60" s="3"/>
      <c r="O60" s="3"/>
      <c r="P60" s="250"/>
      <c r="Q60" s="258" t="s">
        <v>183</v>
      </c>
      <c r="R60" s="11"/>
      <c r="S60" s="11"/>
      <c r="T60" s="11"/>
      <c r="U60" s="11"/>
      <c r="V60" s="11"/>
      <c r="W60" s="11"/>
      <c r="X60" s="11"/>
      <c r="Y60" s="11"/>
      <c r="Z60" s="11"/>
      <c r="AA60" s="11"/>
      <c r="AB60" s="11"/>
      <c r="AC60" s="11"/>
      <c r="AD60" s="11"/>
      <c r="AE60" s="11"/>
      <c r="AF60" s="11"/>
      <c r="AG60" s="11"/>
      <c r="AH60" s="259"/>
      <c r="AI60" s="3"/>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row>
    <row r="61">
      <c r="A61" s="3"/>
      <c r="P61" s="18"/>
      <c r="Q61" s="260"/>
      <c r="R61" s="261"/>
      <c r="S61" s="261"/>
      <c r="T61" s="261"/>
      <c r="U61" s="261"/>
      <c r="V61" s="261"/>
      <c r="W61" s="261"/>
      <c r="X61" s="261"/>
      <c r="Y61" s="261"/>
      <c r="Z61" s="261"/>
      <c r="AA61" s="261"/>
      <c r="AB61" s="261"/>
      <c r="AC61" s="261"/>
      <c r="AD61" s="261"/>
      <c r="AE61" s="261"/>
      <c r="AF61" s="261"/>
      <c r="AG61" s="261"/>
      <c r="AH61" s="19"/>
      <c r="AI61" s="3"/>
      <c r="AJ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row>
    <row r="62">
      <c r="A62" s="262"/>
      <c r="O62" s="3"/>
      <c r="P62" s="18"/>
      <c r="Q62" s="260"/>
      <c r="R62" s="261"/>
      <c r="S62" s="261"/>
      <c r="T62" s="261"/>
      <c r="U62" s="261"/>
      <c r="V62" s="261"/>
      <c r="W62" s="261"/>
      <c r="X62" s="261"/>
      <c r="Y62" s="261"/>
      <c r="Z62" s="261"/>
      <c r="AA62" s="261"/>
      <c r="AB62" s="261"/>
      <c r="AC62" s="261"/>
      <c r="AD62" s="261"/>
      <c r="AE62" s="261"/>
      <c r="AF62" s="261"/>
      <c r="AG62" s="261"/>
      <c r="AH62" s="19"/>
      <c r="AI62" s="3"/>
      <c r="AJ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row>
    <row r="63">
      <c r="A63" s="262"/>
      <c r="O63" s="3"/>
      <c r="P63" s="18"/>
      <c r="Q63" s="260"/>
      <c r="R63" s="261"/>
      <c r="S63" s="261"/>
      <c r="T63" s="261"/>
      <c r="U63" s="261"/>
      <c r="V63" s="261"/>
      <c r="W63" s="261"/>
      <c r="X63" s="261"/>
      <c r="Y63" s="261"/>
      <c r="Z63" s="261"/>
      <c r="AA63" s="261"/>
      <c r="AB63" s="261"/>
      <c r="AC63" s="261"/>
      <c r="AD63" s="261"/>
      <c r="AE63" s="261"/>
      <c r="AF63" s="261"/>
      <c r="AG63" s="261"/>
      <c r="AH63" s="19"/>
      <c r="AI63" s="3"/>
      <c r="AJ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row>
    <row r="64">
      <c r="A64" s="262"/>
      <c r="O64" s="3"/>
      <c r="P64" s="18"/>
      <c r="Q64" s="260"/>
      <c r="R64" s="261"/>
      <c r="S64" s="261"/>
      <c r="T64" s="261"/>
      <c r="U64" s="261"/>
      <c r="V64" s="261"/>
      <c r="W64" s="261"/>
      <c r="X64" s="261"/>
      <c r="Y64" s="261"/>
      <c r="Z64" s="261"/>
      <c r="AA64" s="261"/>
      <c r="AB64" s="261"/>
      <c r="AC64" s="261"/>
      <c r="AD64" s="261"/>
      <c r="AE64" s="261"/>
      <c r="AF64" s="261"/>
      <c r="AG64" s="261"/>
      <c r="AH64" s="19"/>
      <c r="AI64" s="3"/>
      <c r="AJ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row>
    <row r="65">
      <c r="A65" s="263"/>
      <c r="O65" s="3"/>
      <c r="P65" s="18"/>
      <c r="Q65" s="260"/>
      <c r="R65" s="261"/>
      <c r="S65" s="261"/>
      <c r="T65" s="261"/>
      <c r="U65" s="261"/>
      <c r="V65" s="261"/>
      <c r="W65" s="261"/>
      <c r="X65" s="261"/>
      <c r="Y65" s="261"/>
      <c r="Z65" s="261"/>
      <c r="AA65" s="261"/>
      <c r="AB65" s="261"/>
      <c r="AC65" s="261"/>
      <c r="AD65" s="261"/>
      <c r="AE65" s="261"/>
      <c r="AF65" s="261"/>
      <c r="AG65" s="261"/>
      <c r="AH65" s="19"/>
      <c r="AI65" s="3"/>
      <c r="AJ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row>
    <row r="66">
      <c r="A66" s="3"/>
      <c r="O66" s="3"/>
      <c r="P66" s="18"/>
      <c r="Q66" s="260"/>
      <c r="R66" s="261"/>
      <c r="S66" s="261"/>
      <c r="T66" s="261"/>
      <c r="U66" s="261"/>
      <c r="V66" s="261"/>
      <c r="W66" s="261"/>
      <c r="X66" s="261"/>
      <c r="Y66" s="261"/>
      <c r="Z66" s="261"/>
      <c r="AA66" s="261"/>
      <c r="AB66" s="261"/>
      <c r="AC66" s="261"/>
      <c r="AD66" s="261"/>
      <c r="AE66" s="261"/>
      <c r="AF66" s="261"/>
      <c r="AG66" s="261"/>
      <c r="AH66" s="19"/>
      <c r="AI66" s="3"/>
      <c r="AJ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row>
    <row r="67">
      <c r="A67" s="264"/>
      <c r="O67" s="3"/>
      <c r="P67" s="18"/>
      <c r="Q67" s="260"/>
      <c r="R67" s="261"/>
      <c r="S67" s="261"/>
      <c r="T67" s="261"/>
      <c r="U67" s="261"/>
      <c r="V67" s="261"/>
      <c r="W67" s="261"/>
      <c r="X67" s="261"/>
      <c r="Y67" s="261"/>
      <c r="Z67" s="261"/>
      <c r="AA67" s="261"/>
      <c r="AB67" s="261"/>
      <c r="AC67" s="261"/>
      <c r="AD67" s="261"/>
      <c r="AE67" s="261"/>
      <c r="AF67" s="261"/>
      <c r="AG67" s="261"/>
      <c r="AH67" s="19"/>
      <c r="AI67" s="3"/>
      <c r="AJ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row>
    <row r="68">
      <c r="A68" s="264"/>
      <c r="O68" s="3"/>
      <c r="P68" s="21"/>
      <c r="Q68" s="265"/>
      <c r="R68" s="266"/>
      <c r="S68" s="266"/>
      <c r="T68" s="266"/>
      <c r="U68" s="266"/>
      <c r="V68" s="266"/>
      <c r="W68" s="266"/>
      <c r="X68" s="266"/>
      <c r="Y68" s="266"/>
      <c r="Z68" s="266"/>
      <c r="AA68" s="266"/>
      <c r="AB68" s="266"/>
      <c r="AC68" s="266"/>
      <c r="AD68" s="266"/>
      <c r="AE68" s="266"/>
      <c r="AF68" s="266"/>
      <c r="AG68" s="266"/>
      <c r="AH68" s="22"/>
      <c r="AI68" s="3"/>
      <c r="AJ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row>
    <row r="69">
      <c r="A69" s="3"/>
      <c r="B69" s="3"/>
      <c r="C69" s="267"/>
      <c r="D69" s="267"/>
      <c r="E69" s="267"/>
      <c r="F69" s="267"/>
      <c r="G69" s="267"/>
      <c r="H69" s="267"/>
      <c r="I69" s="267"/>
      <c r="J69" s="267"/>
      <c r="K69" s="268"/>
      <c r="L69" s="267"/>
      <c r="M69" s="267"/>
      <c r="N69" s="267"/>
      <c r="O69" s="267"/>
      <c r="P69" s="267"/>
      <c r="Q69" s="267"/>
      <c r="R69" s="267"/>
      <c r="S69" s="267"/>
      <c r="T69" s="268"/>
      <c r="U69" s="268"/>
      <c r="V69" s="267"/>
      <c r="W69" s="267"/>
      <c r="X69" s="267"/>
      <c r="Y69" s="267"/>
      <c r="Z69" s="267"/>
      <c r="AA69" s="267"/>
      <c r="AB69" s="267"/>
      <c r="AC69" s="267"/>
      <c r="AD69" s="268"/>
      <c r="AE69" s="268"/>
      <c r="AF69" s="24"/>
      <c r="AG69" s="24"/>
      <c r="AH69" s="24"/>
      <c r="AI69" s="24"/>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row>
    <row r="70">
      <c r="A70" s="3"/>
      <c r="B70" s="269" t="s">
        <v>184</v>
      </c>
      <c r="C70" s="11"/>
      <c r="D70" s="11"/>
      <c r="E70" s="11"/>
      <c r="F70" s="11"/>
      <c r="G70" s="11"/>
      <c r="H70" s="11"/>
      <c r="I70" s="11"/>
      <c r="J70" s="270"/>
      <c r="K70" s="271" t="s">
        <v>185</v>
      </c>
      <c r="L70" s="7"/>
      <c r="M70" s="7"/>
      <c r="N70" s="7"/>
      <c r="O70" s="7"/>
      <c r="P70" s="7"/>
      <c r="Q70" s="7"/>
      <c r="R70" s="7"/>
      <c r="S70" s="7"/>
      <c r="T70" s="270"/>
      <c r="U70" s="271" t="s">
        <v>186</v>
      </c>
      <c r="V70" s="7"/>
      <c r="W70" s="7"/>
      <c r="X70" s="7"/>
      <c r="Y70" s="7"/>
      <c r="Z70" s="7"/>
      <c r="AA70" s="7"/>
      <c r="AB70" s="7"/>
      <c r="AC70" s="7"/>
      <c r="AD70" s="270"/>
      <c r="AE70" s="272" t="s">
        <v>187</v>
      </c>
      <c r="AF70" s="11"/>
      <c r="AG70" s="11"/>
      <c r="AH70" s="11"/>
      <c r="AI70" s="11"/>
      <c r="AJ70" s="11"/>
      <c r="AK70" s="12"/>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row>
    <row r="71">
      <c r="A71" s="3"/>
      <c r="B71" s="25"/>
      <c r="C71" s="7"/>
      <c r="D71" s="7"/>
      <c r="E71" s="7"/>
      <c r="F71" s="7"/>
      <c r="G71" s="7"/>
      <c r="H71" s="7"/>
      <c r="I71" s="7"/>
      <c r="K71" s="273"/>
      <c r="L71" s="7"/>
      <c r="M71" s="7"/>
      <c r="N71" s="7"/>
      <c r="O71" s="7"/>
      <c r="P71" s="7"/>
      <c r="Q71" s="7"/>
      <c r="R71" s="7"/>
      <c r="S71" s="273"/>
      <c r="U71" s="273"/>
      <c r="V71" s="7"/>
      <c r="W71" s="7"/>
      <c r="X71" s="7"/>
      <c r="Y71" s="7"/>
      <c r="Z71" s="7"/>
      <c r="AA71" s="7"/>
      <c r="AB71" s="7"/>
      <c r="AC71" s="273"/>
      <c r="AE71" s="274"/>
      <c r="AF71" s="31"/>
      <c r="AG71" s="31"/>
      <c r="AH71" s="31"/>
      <c r="AI71" s="31"/>
      <c r="AJ71" s="31"/>
      <c r="AK71" s="22"/>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row>
    <row r="72">
      <c r="A72" s="3"/>
      <c r="B72" s="25"/>
      <c r="C72" s="7"/>
      <c r="D72" s="7"/>
      <c r="E72" s="7"/>
      <c r="F72" s="7"/>
      <c r="G72" s="7"/>
      <c r="H72" s="7"/>
      <c r="I72" s="7"/>
      <c r="K72" s="273"/>
      <c r="L72" s="7"/>
      <c r="M72" s="7"/>
      <c r="N72" s="7"/>
      <c r="O72" s="7"/>
      <c r="P72" s="7"/>
      <c r="Q72" s="7"/>
      <c r="R72" s="7"/>
      <c r="S72" s="273"/>
      <c r="U72" s="273"/>
      <c r="V72" s="7"/>
      <c r="W72" s="7"/>
      <c r="X72" s="7"/>
      <c r="Y72" s="7"/>
      <c r="Z72" s="7"/>
      <c r="AA72" s="7"/>
      <c r="AB72" s="7"/>
      <c r="AC72" s="273"/>
      <c r="AE72" s="274"/>
      <c r="AF72" s="31"/>
      <c r="AG72" s="31"/>
      <c r="AH72" s="31"/>
      <c r="AI72" s="31"/>
      <c r="AJ72" s="31"/>
      <c r="AK72" s="22"/>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row>
    <row r="73">
      <c r="A73" s="3"/>
      <c r="B73" s="25"/>
      <c r="C73" s="7"/>
      <c r="D73" s="7"/>
      <c r="E73" s="7"/>
      <c r="F73" s="7"/>
      <c r="G73" s="7"/>
      <c r="H73" s="7"/>
      <c r="I73" s="7"/>
      <c r="K73" s="273"/>
      <c r="L73" s="7"/>
      <c r="M73" s="7"/>
      <c r="N73" s="7"/>
      <c r="O73" s="7"/>
      <c r="P73" s="7"/>
      <c r="Q73" s="7"/>
      <c r="R73" s="7"/>
      <c r="S73" s="273"/>
      <c r="U73" s="273"/>
      <c r="V73" s="7"/>
      <c r="W73" s="7"/>
      <c r="X73" s="7"/>
      <c r="Y73" s="7"/>
      <c r="Z73" s="7"/>
      <c r="AA73" s="7"/>
      <c r="AB73" s="7"/>
      <c r="AC73" s="273"/>
      <c r="AE73" s="274"/>
      <c r="AF73" s="31"/>
      <c r="AG73" s="31"/>
      <c r="AH73" s="31"/>
      <c r="AI73" s="31"/>
      <c r="AJ73" s="31"/>
      <c r="AK73" s="22"/>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row>
    <row r="74">
      <c r="A74" s="3"/>
      <c r="B74" s="25"/>
      <c r="C74" s="7"/>
      <c r="D74" s="7"/>
      <c r="E74" s="7"/>
      <c r="F74" s="7"/>
      <c r="G74" s="7"/>
      <c r="H74" s="7"/>
      <c r="I74" s="7"/>
      <c r="K74" s="273"/>
      <c r="L74" s="7"/>
      <c r="M74" s="7"/>
      <c r="N74" s="7"/>
      <c r="O74" s="7"/>
      <c r="P74" s="7"/>
      <c r="Q74" s="7"/>
      <c r="R74" s="7"/>
      <c r="S74" s="273"/>
      <c r="U74" s="273"/>
      <c r="V74" s="7"/>
      <c r="W74" s="7"/>
      <c r="X74" s="7"/>
      <c r="Y74" s="7"/>
      <c r="Z74" s="7"/>
      <c r="AA74" s="7"/>
      <c r="AB74" s="7"/>
      <c r="AC74" s="273"/>
      <c r="AE74" s="274"/>
      <c r="AF74" s="31"/>
      <c r="AG74" s="31"/>
      <c r="AH74" s="31"/>
      <c r="AI74" s="31"/>
      <c r="AJ74" s="31"/>
      <c r="AK74" s="22"/>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row>
    <row r="75">
      <c r="A75" s="3"/>
      <c r="B75" s="25"/>
      <c r="C75" s="7"/>
      <c r="D75" s="7"/>
      <c r="E75" s="7"/>
      <c r="F75" s="7"/>
      <c r="G75" s="7"/>
      <c r="H75" s="7"/>
      <c r="I75" s="7"/>
      <c r="K75" s="273"/>
      <c r="L75" s="7"/>
      <c r="M75" s="7"/>
      <c r="N75" s="7"/>
      <c r="O75" s="7"/>
      <c r="P75" s="7"/>
      <c r="Q75" s="7"/>
      <c r="R75" s="7"/>
      <c r="S75" s="273"/>
      <c r="U75" s="273"/>
      <c r="V75" s="7"/>
      <c r="W75" s="7"/>
      <c r="X75" s="7"/>
      <c r="Y75" s="7"/>
      <c r="Z75" s="7"/>
      <c r="AA75" s="7"/>
      <c r="AB75" s="7"/>
      <c r="AC75" s="273"/>
      <c r="AE75" s="274"/>
      <c r="AF75" s="31"/>
      <c r="AG75" s="31"/>
      <c r="AH75" s="31"/>
      <c r="AI75" s="31"/>
      <c r="AJ75" s="31"/>
      <c r="AK75" s="22"/>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row>
    <row r="76">
      <c r="A76" s="3"/>
      <c r="B76" s="25"/>
      <c r="C76" s="7"/>
      <c r="D76" s="7"/>
      <c r="E76" s="7"/>
      <c r="F76" s="7"/>
      <c r="G76" s="7"/>
      <c r="H76" s="7"/>
      <c r="I76" s="7"/>
      <c r="K76" s="273"/>
      <c r="L76" s="7"/>
      <c r="M76" s="7"/>
      <c r="N76" s="7"/>
      <c r="O76" s="7"/>
      <c r="P76" s="7"/>
      <c r="Q76" s="7"/>
      <c r="R76" s="7"/>
      <c r="S76" s="273"/>
      <c r="U76" s="273"/>
      <c r="V76" s="7"/>
      <c r="W76" s="7"/>
      <c r="X76" s="7"/>
      <c r="Y76" s="7"/>
      <c r="Z76" s="7"/>
      <c r="AA76" s="7"/>
      <c r="AB76" s="7"/>
      <c r="AC76" s="273"/>
      <c r="AE76" s="274"/>
      <c r="AF76" s="31"/>
      <c r="AG76" s="31"/>
      <c r="AH76" s="31"/>
      <c r="AI76" s="31"/>
      <c r="AJ76" s="31"/>
      <c r="AK76" s="22"/>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row>
    <row r="77">
      <c r="A77" s="3"/>
      <c r="B77" s="25"/>
      <c r="C77" s="7"/>
      <c r="D77" s="7"/>
      <c r="E77" s="7"/>
      <c r="F77" s="7"/>
      <c r="G77" s="7"/>
      <c r="H77" s="7"/>
      <c r="I77" s="7"/>
      <c r="K77" s="273"/>
      <c r="L77" s="7"/>
      <c r="M77" s="7"/>
      <c r="N77" s="7"/>
      <c r="O77" s="7"/>
      <c r="P77" s="7"/>
      <c r="Q77" s="7"/>
      <c r="R77" s="7"/>
      <c r="S77" s="273"/>
      <c r="U77" s="273"/>
      <c r="V77" s="7"/>
      <c r="W77" s="7"/>
      <c r="X77" s="7"/>
      <c r="Y77" s="7"/>
      <c r="Z77" s="7"/>
      <c r="AA77" s="7"/>
      <c r="AB77" s="7"/>
      <c r="AC77" s="273"/>
      <c r="AE77" s="274"/>
      <c r="AF77" s="31"/>
      <c r="AG77" s="31"/>
      <c r="AH77" s="31"/>
      <c r="AI77" s="31"/>
      <c r="AJ77" s="31"/>
      <c r="AK77" s="22"/>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row>
    <row r="78">
      <c r="A78" s="3"/>
      <c r="B78" s="25"/>
      <c r="C78" s="7"/>
      <c r="D78" s="7"/>
      <c r="E78" s="7"/>
      <c r="F78" s="7"/>
      <c r="G78" s="7"/>
      <c r="H78" s="7"/>
      <c r="I78" s="7"/>
      <c r="K78" s="273"/>
      <c r="L78" s="7"/>
      <c r="M78" s="7"/>
      <c r="N78" s="7"/>
      <c r="O78" s="7"/>
      <c r="P78" s="7"/>
      <c r="Q78" s="7"/>
      <c r="R78" s="7"/>
      <c r="S78" s="273"/>
      <c r="U78" s="273"/>
      <c r="V78" s="7"/>
      <c r="W78" s="7"/>
      <c r="X78" s="7"/>
      <c r="Y78" s="7"/>
      <c r="Z78" s="7"/>
      <c r="AA78" s="7"/>
      <c r="AB78" s="7"/>
      <c r="AC78" s="273"/>
      <c r="AE78" s="274"/>
      <c r="AF78" s="31"/>
      <c r="AG78" s="31"/>
      <c r="AH78" s="31"/>
      <c r="AI78" s="31"/>
      <c r="AJ78" s="31"/>
      <c r="AK78" s="22"/>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row>
    <row r="79">
      <c r="A79" s="3"/>
      <c r="B79" s="25"/>
      <c r="C79" s="7"/>
      <c r="D79" s="7"/>
      <c r="E79" s="7"/>
      <c r="F79" s="7"/>
      <c r="G79" s="7"/>
      <c r="H79" s="7"/>
      <c r="I79" s="7"/>
      <c r="K79" s="273"/>
      <c r="L79" s="7"/>
      <c r="M79" s="7"/>
      <c r="N79" s="7"/>
      <c r="O79" s="7"/>
      <c r="P79" s="7"/>
      <c r="Q79" s="7"/>
      <c r="R79" s="7"/>
      <c r="S79" s="273"/>
      <c r="U79" s="273"/>
      <c r="V79" s="7"/>
      <c r="W79" s="7"/>
      <c r="X79" s="7"/>
      <c r="Y79" s="7"/>
      <c r="Z79" s="7"/>
      <c r="AA79" s="7"/>
      <c r="AB79" s="7"/>
      <c r="AC79" s="273"/>
      <c r="AE79" s="274"/>
      <c r="AF79" s="31"/>
      <c r="AG79" s="31"/>
      <c r="AH79" s="31"/>
      <c r="AI79" s="31"/>
      <c r="AJ79" s="31"/>
      <c r="AK79" s="22"/>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row>
    <row r="80">
      <c r="A80" s="3"/>
      <c r="B80" s="25"/>
      <c r="C80" s="7"/>
      <c r="D80" s="7"/>
      <c r="E80" s="7"/>
      <c r="F80" s="7"/>
      <c r="G80" s="7"/>
      <c r="H80" s="7"/>
      <c r="I80" s="7"/>
      <c r="K80" s="273"/>
      <c r="L80" s="7"/>
      <c r="M80" s="7"/>
      <c r="N80" s="7"/>
      <c r="O80" s="7"/>
      <c r="P80" s="7"/>
      <c r="Q80" s="7"/>
      <c r="R80" s="7"/>
      <c r="S80" s="273"/>
      <c r="U80" s="273"/>
      <c r="V80" s="7"/>
      <c r="W80" s="7"/>
      <c r="X80" s="7"/>
      <c r="Y80" s="7"/>
      <c r="Z80" s="7"/>
      <c r="AA80" s="7"/>
      <c r="AB80" s="7"/>
      <c r="AC80" s="273"/>
      <c r="AE80" s="274"/>
      <c r="AF80" s="31"/>
      <c r="AG80" s="31"/>
      <c r="AH80" s="31"/>
      <c r="AI80" s="31"/>
      <c r="AJ80" s="31"/>
      <c r="AK80" s="22"/>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row>
    <row r="81">
      <c r="A81" s="3"/>
      <c r="B81" s="25"/>
      <c r="C81" s="7"/>
      <c r="D81" s="7"/>
      <c r="E81" s="7"/>
      <c r="F81" s="7"/>
      <c r="G81" s="7"/>
      <c r="H81" s="7"/>
      <c r="I81" s="7"/>
      <c r="K81" s="273"/>
      <c r="L81" s="7"/>
      <c r="M81" s="7"/>
      <c r="N81" s="7"/>
      <c r="O81" s="7"/>
      <c r="P81" s="7"/>
      <c r="Q81" s="7"/>
      <c r="R81" s="7"/>
      <c r="S81" s="273"/>
      <c r="U81" s="273"/>
      <c r="V81" s="7"/>
      <c r="W81" s="7"/>
      <c r="X81" s="7"/>
      <c r="Y81" s="7"/>
      <c r="Z81" s="7"/>
      <c r="AA81" s="7"/>
      <c r="AB81" s="7"/>
      <c r="AC81" s="252"/>
      <c r="AE81" s="274"/>
      <c r="AF81" s="31"/>
      <c r="AG81" s="31"/>
      <c r="AH81" s="31"/>
      <c r="AI81" s="31"/>
      <c r="AJ81" s="31"/>
      <c r="AK81" s="22"/>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row>
    <row r="82">
      <c r="A82" s="3"/>
      <c r="B82" s="25"/>
      <c r="C82" s="7"/>
      <c r="D82" s="7"/>
      <c r="E82" s="7"/>
      <c r="F82" s="7"/>
      <c r="G82" s="7"/>
      <c r="H82" s="7"/>
      <c r="I82" s="7"/>
      <c r="K82" s="273"/>
      <c r="L82" s="7"/>
      <c r="M82" s="7"/>
      <c r="N82" s="7"/>
      <c r="O82" s="7"/>
      <c r="P82" s="7"/>
      <c r="Q82" s="7"/>
      <c r="R82" s="7"/>
      <c r="S82" s="273"/>
      <c r="U82" s="273"/>
      <c r="V82" s="7"/>
      <c r="W82" s="7"/>
      <c r="X82" s="7"/>
      <c r="Y82" s="7"/>
      <c r="Z82" s="7"/>
      <c r="AA82" s="7"/>
      <c r="AB82" s="7"/>
      <c r="AC82" s="252"/>
      <c r="AE82" s="274"/>
      <c r="AF82" s="31"/>
      <c r="AG82" s="31"/>
      <c r="AH82" s="31"/>
      <c r="AI82" s="31"/>
      <c r="AJ82" s="31"/>
      <c r="AK82" s="22"/>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row>
    <row r="83">
      <c r="A83" s="3"/>
      <c r="B83" s="25"/>
      <c r="C83" s="7"/>
      <c r="D83" s="7"/>
      <c r="E83" s="7"/>
      <c r="F83" s="7"/>
      <c r="G83" s="7"/>
      <c r="H83" s="7"/>
      <c r="I83" s="7"/>
      <c r="J83" s="31"/>
      <c r="K83" s="273"/>
      <c r="L83" s="7"/>
      <c r="M83" s="7"/>
      <c r="N83" s="7"/>
      <c r="O83" s="7"/>
      <c r="P83" s="7"/>
      <c r="Q83" s="7"/>
      <c r="R83" s="7"/>
      <c r="S83" s="273"/>
      <c r="T83" s="31"/>
      <c r="U83" s="273"/>
      <c r="V83" s="7"/>
      <c r="W83" s="7"/>
      <c r="X83" s="7"/>
      <c r="Y83" s="7"/>
      <c r="Z83" s="7"/>
      <c r="AA83" s="7"/>
      <c r="AB83" s="7"/>
      <c r="AC83" s="273"/>
      <c r="AD83" s="31"/>
      <c r="AE83" s="274"/>
      <c r="AF83" s="31"/>
      <c r="AG83" s="31"/>
      <c r="AH83" s="31"/>
      <c r="AI83" s="31"/>
      <c r="AJ83" s="31"/>
      <c r="AK83" s="22"/>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row>
    <row r="84">
      <c r="A84" s="3"/>
      <c r="B84" s="3"/>
      <c r="C84" s="267"/>
      <c r="D84" s="267"/>
      <c r="E84" s="267"/>
      <c r="F84" s="267"/>
      <c r="G84" s="267"/>
      <c r="H84" s="267"/>
      <c r="I84" s="267"/>
      <c r="J84" s="267"/>
      <c r="K84" s="268"/>
      <c r="L84" s="267"/>
      <c r="M84" s="267"/>
      <c r="N84" s="267"/>
      <c r="O84" s="267"/>
      <c r="P84" s="267"/>
      <c r="Q84" s="267"/>
      <c r="R84" s="267"/>
      <c r="S84" s="267"/>
      <c r="T84" s="268"/>
      <c r="U84" s="268"/>
      <c r="V84" s="267"/>
      <c r="W84" s="267"/>
      <c r="X84" s="267"/>
      <c r="Y84" s="267"/>
      <c r="Z84" s="267"/>
      <c r="AA84" s="267"/>
      <c r="AB84" s="267"/>
      <c r="AC84" s="267"/>
      <c r="AD84" s="268"/>
      <c r="AE84" s="268"/>
      <c r="AF84" s="24"/>
      <c r="AG84" s="24"/>
      <c r="AH84" s="24"/>
      <c r="AI84" s="24"/>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row>
    <row r="85">
      <c r="A85" s="3"/>
      <c r="B85" s="3"/>
      <c r="C85" s="267"/>
      <c r="D85" s="267"/>
      <c r="E85" s="267"/>
      <c r="F85" s="267"/>
      <c r="G85" s="267"/>
      <c r="H85" s="267"/>
      <c r="I85" s="267"/>
      <c r="J85" s="267"/>
      <c r="K85" s="268"/>
      <c r="L85" s="267"/>
      <c r="M85" s="267"/>
      <c r="N85" s="267"/>
      <c r="O85" s="267"/>
      <c r="P85" s="267"/>
      <c r="Q85" s="267"/>
      <c r="R85" s="267"/>
      <c r="S85" s="267"/>
      <c r="T85" s="268"/>
      <c r="U85" s="268"/>
      <c r="V85" s="267"/>
      <c r="W85" s="267"/>
      <c r="X85" s="267"/>
      <c r="Y85" s="267"/>
      <c r="Z85" s="267"/>
      <c r="AA85" s="267"/>
      <c r="AB85" s="267"/>
      <c r="AC85" s="267"/>
      <c r="AD85" s="268"/>
      <c r="AE85" s="268"/>
      <c r="AF85" s="24"/>
      <c r="AG85" s="24"/>
      <c r="AH85" s="24"/>
      <c r="AI85" s="24"/>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row>
    <row r="86">
      <c r="A86" s="3"/>
      <c r="B86" s="3"/>
      <c r="C86" s="267"/>
      <c r="D86" s="267"/>
      <c r="E86" s="267"/>
      <c r="F86" s="267"/>
      <c r="G86" s="267"/>
      <c r="H86" s="267"/>
      <c r="I86" s="267"/>
      <c r="J86" s="267"/>
      <c r="K86" s="268"/>
      <c r="L86" s="267"/>
      <c r="M86" s="267"/>
      <c r="N86" s="267"/>
      <c r="O86" s="267"/>
      <c r="P86" s="267"/>
      <c r="Q86" s="267"/>
      <c r="R86" s="267"/>
      <c r="S86" s="267"/>
      <c r="T86" s="268"/>
      <c r="U86" s="268"/>
      <c r="V86" s="267"/>
      <c r="W86" s="267"/>
      <c r="X86" s="267"/>
      <c r="Y86" s="267"/>
      <c r="Z86" s="267"/>
      <c r="AA86" s="267"/>
      <c r="AB86" s="267"/>
      <c r="AC86" s="267"/>
      <c r="AD86" s="268"/>
      <c r="AE86" s="268"/>
      <c r="AF86" s="24"/>
      <c r="AG86" s="24"/>
      <c r="AH86" s="24"/>
      <c r="AI86" s="24"/>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row>
    <row r="87">
      <c r="A87" s="3"/>
      <c r="B87" s="3"/>
      <c r="C87" s="267"/>
      <c r="D87" s="267"/>
      <c r="E87" s="267"/>
      <c r="F87" s="267"/>
      <c r="G87" s="267"/>
      <c r="H87" s="267"/>
      <c r="I87" s="267"/>
      <c r="J87" s="267"/>
      <c r="K87" s="268"/>
      <c r="L87" s="267"/>
      <c r="M87" s="267"/>
      <c r="N87" s="267"/>
      <c r="O87" s="267"/>
      <c r="P87" s="267"/>
      <c r="Q87" s="267"/>
      <c r="R87" s="267"/>
      <c r="S87" s="267"/>
      <c r="T87" s="268"/>
      <c r="U87" s="268"/>
      <c r="V87" s="267"/>
      <c r="W87" s="267"/>
      <c r="X87" s="267"/>
      <c r="Y87" s="267"/>
      <c r="Z87" s="267"/>
      <c r="AA87" s="267"/>
      <c r="AB87" s="267"/>
      <c r="AC87" s="267"/>
      <c r="AD87" s="268"/>
      <c r="AE87" s="268"/>
      <c r="AF87" s="24"/>
      <c r="AG87" s="24"/>
      <c r="AH87" s="24"/>
      <c r="AI87" s="24"/>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row>
    <row r="88">
      <c r="A88" s="3"/>
      <c r="B88" s="3"/>
      <c r="C88" s="267"/>
      <c r="D88" s="267"/>
      <c r="E88" s="267"/>
      <c r="F88" s="267"/>
      <c r="G88" s="267"/>
      <c r="H88" s="267"/>
      <c r="I88" s="267"/>
      <c r="J88" s="267"/>
      <c r="K88" s="268"/>
      <c r="L88" s="267"/>
      <c r="M88" s="267"/>
      <c r="N88" s="267"/>
      <c r="O88" s="267"/>
      <c r="P88" s="267"/>
      <c r="Q88" s="267"/>
      <c r="R88" s="267"/>
      <c r="S88" s="267"/>
      <c r="T88" s="268"/>
      <c r="U88" s="268"/>
      <c r="V88" s="267"/>
      <c r="W88" s="267"/>
      <c r="X88" s="267"/>
      <c r="Y88" s="267"/>
      <c r="Z88" s="267"/>
      <c r="AA88" s="267"/>
      <c r="AB88" s="267"/>
      <c r="AC88" s="267"/>
      <c r="AD88" s="268"/>
      <c r="AE88" s="268"/>
      <c r="AF88" s="24"/>
      <c r="AG88" s="24"/>
      <c r="AH88" s="24"/>
      <c r="AI88" s="24"/>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row>
    <row r="89">
      <c r="A89" s="3"/>
      <c r="B89" s="3"/>
      <c r="C89" s="267"/>
      <c r="D89" s="267"/>
      <c r="E89" s="267"/>
      <c r="F89" s="267"/>
      <c r="G89" s="267"/>
      <c r="H89" s="267"/>
      <c r="I89" s="267"/>
      <c r="J89" s="267"/>
      <c r="K89" s="268"/>
      <c r="L89" s="267"/>
      <c r="M89" s="267"/>
      <c r="N89" s="267"/>
      <c r="O89" s="267"/>
      <c r="P89" s="267"/>
      <c r="Q89" s="267"/>
      <c r="R89" s="267"/>
      <c r="S89" s="267"/>
      <c r="T89" s="268"/>
      <c r="U89" s="268"/>
      <c r="V89" s="267"/>
      <c r="W89" s="267"/>
      <c r="X89" s="267"/>
      <c r="Y89" s="267"/>
      <c r="Z89" s="267"/>
      <c r="AA89" s="267"/>
      <c r="AB89" s="267"/>
      <c r="AC89" s="267"/>
      <c r="AD89" s="268"/>
      <c r="AE89" s="268"/>
      <c r="AF89" s="24"/>
      <c r="AG89" s="24"/>
      <c r="AH89" s="24"/>
      <c r="AI89" s="24"/>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row>
    <row r="90">
      <c r="A90" s="3"/>
      <c r="B90" s="3"/>
      <c r="C90" s="267"/>
      <c r="D90" s="267"/>
      <c r="E90" s="267"/>
      <c r="F90" s="267"/>
      <c r="G90" s="267"/>
      <c r="H90" s="267"/>
      <c r="I90" s="267"/>
      <c r="J90" s="267"/>
      <c r="K90" s="268"/>
      <c r="L90" s="267"/>
      <c r="M90" s="267"/>
      <c r="N90" s="267"/>
      <c r="O90" s="267"/>
      <c r="P90" s="267"/>
      <c r="Q90" s="267"/>
      <c r="R90" s="267"/>
      <c r="S90" s="267"/>
      <c r="T90" s="268"/>
      <c r="U90" s="268"/>
      <c r="V90" s="267"/>
      <c r="W90" s="267"/>
      <c r="X90" s="267"/>
      <c r="Y90" s="267"/>
      <c r="Z90" s="267"/>
      <c r="AA90" s="267"/>
      <c r="AB90" s="267"/>
      <c r="AC90" s="267"/>
      <c r="AD90" s="268"/>
      <c r="AE90" s="268"/>
      <c r="AF90" s="24"/>
      <c r="AG90" s="24"/>
      <c r="AH90" s="24"/>
      <c r="AI90" s="24"/>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row>
    <row r="91">
      <c r="A91" s="3"/>
      <c r="B91" s="3"/>
      <c r="C91" s="267"/>
      <c r="D91" s="267"/>
      <c r="E91" s="267"/>
      <c r="F91" s="267"/>
      <c r="G91" s="267"/>
      <c r="H91" s="267"/>
      <c r="I91" s="267"/>
      <c r="J91" s="267"/>
      <c r="K91" s="268"/>
      <c r="L91" s="267"/>
      <c r="M91" s="267"/>
      <c r="N91" s="267"/>
      <c r="O91" s="267"/>
      <c r="P91" s="267"/>
      <c r="Q91" s="267"/>
      <c r="R91" s="267"/>
      <c r="S91" s="267"/>
      <c r="T91" s="268"/>
      <c r="U91" s="268"/>
      <c r="V91" s="267"/>
      <c r="W91" s="267"/>
      <c r="X91" s="267"/>
      <c r="Y91" s="267"/>
      <c r="Z91" s="267"/>
      <c r="AA91" s="267"/>
      <c r="AB91" s="267"/>
      <c r="AC91" s="267"/>
      <c r="AD91" s="268"/>
      <c r="AE91" s="268"/>
      <c r="AF91" s="24"/>
      <c r="AG91" s="24"/>
      <c r="AH91" s="24"/>
      <c r="AI91" s="24"/>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row>
    <row r="92">
      <c r="A92" s="3"/>
      <c r="B92" s="3"/>
      <c r="C92" s="267"/>
      <c r="D92" s="267"/>
      <c r="E92" s="267"/>
      <c r="F92" s="267"/>
      <c r="G92" s="267"/>
      <c r="H92" s="267"/>
      <c r="I92" s="267"/>
      <c r="J92" s="267"/>
      <c r="K92" s="268"/>
      <c r="L92" s="267"/>
      <c r="M92" s="267"/>
      <c r="N92" s="267"/>
      <c r="O92" s="267"/>
      <c r="P92" s="267"/>
      <c r="Q92" s="267"/>
      <c r="R92" s="267"/>
      <c r="S92" s="267"/>
      <c r="T92" s="268"/>
      <c r="U92" s="268"/>
      <c r="V92" s="267"/>
      <c r="W92" s="267"/>
      <c r="X92" s="267"/>
      <c r="Y92" s="267"/>
      <c r="Z92" s="267"/>
      <c r="AA92" s="267"/>
      <c r="AB92" s="267"/>
      <c r="AC92" s="267"/>
      <c r="AD92" s="268"/>
      <c r="AE92" s="268"/>
      <c r="AF92" s="24"/>
      <c r="AG92" s="24"/>
      <c r="AH92" s="24"/>
      <c r="AI92" s="24"/>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row>
    <row r="93">
      <c r="A93" s="3"/>
      <c r="B93" s="3"/>
      <c r="C93" s="267"/>
      <c r="D93" s="267"/>
      <c r="E93" s="267"/>
      <c r="F93" s="267"/>
      <c r="G93" s="267"/>
      <c r="H93" s="267"/>
      <c r="I93" s="267"/>
      <c r="J93" s="267"/>
      <c r="K93" s="268"/>
      <c r="L93" s="267"/>
      <c r="M93" s="267"/>
      <c r="N93" s="267"/>
      <c r="O93" s="267"/>
      <c r="P93" s="267"/>
      <c r="Q93" s="267"/>
      <c r="R93" s="267"/>
      <c r="S93" s="267"/>
      <c r="T93" s="268"/>
      <c r="U93" s="268"/>
      <c r="V93" s="267"/>
      <c r="W93" s="267"/>
      <c r="X93" s="267"/>
      <c r="Y93" s="267"/>
      <c r="Z93" s="267"/>
      <c r="AA93" s="267"/>
      <c r="AB93" s="267"/>
      <c r="AC93" s="267"/>
      <c r="AD93" s="268"/>
      <c r="AE93" s="268"/>
      <c r="AF93" s="24"/>
      <c r="AG93" s="24"/>
      <c r="AH93" s="24"/>
      <c r="AI93" s="24"/>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row>
    <row r="94">
      <c r="A94" s="3"/>
      <c r="B94" s="3"/>
      <c r="C94" s="267"/>
      <c r="D94" s="267"/>
      <c r="E94" s="267"/>
      <c r="F94" s="267"/>
      <c r="G94" s="267"/>
      <c r="H94" s="267"/>
      <c r="I94" s="267"/>
      <c r="J94" s="267"/>
      <c r="K94" s="268"/>
      <c r="L94" s="267"/>
      <c r="M94" s="267"/>
      <c r="N94" s="267"/>
      <c r="O94" s="267"/>
      <c r="P94" s="267"/>
      <c r="Q94" s="267"/>
      <c r="R94" s="267"/>
      <c r="S94" s="267"/>
      <c r="T94" s="268"/>
      <c r="U94" s="268"/>
      <c r="V94" s="267"/>
      <c r="W94" s="267"/>
      <c r="X94" s="267"/>
      <c r="Y94" s="267"/>
      <c r="Z94" s="267"/>
      <c r="AA94" s="267"/>
      <c r="AB94" s="267"/>
      <c r="AC94" s="267"/>
      <c r="AD94" s="268"/>
      <c r="AE94" s="268"/>
      <c r="AF94" s="24"/>
      <c r="AG94" s="24"/>
      <c r="AH94" s="24"/>
      <c r="AI94" s="24"/>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row>
    <row r="95">
      <c r="A95" s="3"/>
      <c r="B95" s="3"/>
      <c r="C95" s="267"/>
      <c r="D95" s="267"/>
      <c r="E95" s="267"/>
      <c r="F95" s="267"/>
      <c r="G95" s="267"/>
      <c r="H95" s="267"/>
      <c r="I95" s="267"/>
      <c r="J95" s="267"/>
      <c r="K95" s="268"/>
      <c r="L95" s="267"/>
      <c r="M95" s="267"/>
      <c r="N95" s="267"/>
      <c r="O95" s="267"/>
      <c r="P95" s="267"/>
      <c r="Q95" s="267"/>
      <c r="R95" s="267"/>
      <c r="S95" s="267"/>
      <c r="T95" s="268"/>
      <c r="U95" s="268"/>
      <c r="V95" s="267"/>
      <c r="W95" s="267"/>
      <c r="X95" s="267"/>
      <c r="Y95" s="267"/>
      <c r="Z95" s="267"/>
      <c r="AA95" s="267"/>
      <c r="AB95" s="267"/>
      <c r="AC95" s="267"/>
      <c r="AD95" s="268"/>
      <c r="AE95" s="268"/>
      <c r="AF95" s="24"/>
      <c r="AG95" s="24"/>
      <c r="AH95" s="24"/>
      <c r="AI95" s="24"/>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row>
    <row r="96">
      <c r="A96" s="3"/>
      <c r="B96" s="3"/>
      <c r="C96" s="267"/>
      <c r="D96" s="267"/>
      <c r="E96" s="267"/>
      <c r="F96" s="267"/>
      <c r="G96" s="267"/>
      <c r="H96" s="267"/>
      <c r="I96" s="267"/>
      <c r="J96" s="267"/>
      <c r="K96" s="268"/>
      <c r="L96" s="267"/>
      <c r="M96" s="267"/>
      <c r="N96" s="267"/>
      <c r="O96" s="267"/>
      <c r="P96" s="267"/>
      <c r="Q96" s="267"/>
      <c r="R96" s="267"/>
      <c r="S96" s="267"/>
      <c r="T96" s="268"/>
      <c r="U96" s="268"/>
      <c r="V96" s="267"/>
      <c r="W96" s="267"/>
      <c r="X96" s="267"/>
      <c r="Y96" s="267"/>
      <c r="Z96" s="267"/>
      <c r="AA96" s="267"/>
      <c r="AB96" s="267"/>
      <c r="AC96" s="267"/>
      <c r="AD96" s="268"/>
      <c r="AE96" s="268"/>
      <c r="AF96" s="24"/>
      <c r="AG96" s="24"/>
      <c r="AH96" s="24"/>
      <c r="AI96" s="24"/>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row>
    <row r="97">
      <c r="A97" s="3"/>
      <c r="B97" s="3"/>
      <c r="C97" s="267"/>
      <c r="D97" s="267"/>
      <c r="E97" s="267"/>
      <c r="F97" s="267"/>
      <c r="G97" s="267"/>
      <c r="H97" s="267"/>
      <c r="I97" s="267"/>
      <c r="J97" s="267"/>
      <c r="K97" s="268"/>
      <c r="L97" s="267"/>
      <c r="M97" s="267"/>
      <c r="N97" s="267"/>
      <c r="O97" s="267"/>
      <c r="P97" s="267"/>
      <c r="Q97" s="267"/>
      <c r="R97" s="267"/>
      <c r="S97" s="267"/>
      <c r="T97" s="268"/>
      <c r="U97" s="268"/>
      <c r="V97" s="267"/>
      <c r="W97" s="267"/>
      <c r="X97" s="267"/>
      <c r="Y97" s="267"/>
      <c r="Z97" s="267"/>
      <c r="AA97" s="267"/>
      <c r="AB97" s="267"/>
      <c r="AC97" s="267"/>
      <c r="AD97" s="268"/>
      <c r="AE97" s="268"/>
      <c r="AF97" s="24"/>
      <c r="AG97" s="24"/>
      <c r="AH97" s="24"/>
      <c r="AI97" s="24"/>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row>
    <row r="98">
      <c r="A98" s="3"/>
      <c r="B98" s="3"/>
      <c r="C98" s="267"/>
      <c r="D98" s="267"/>
      <c r="E98" s="267"/>
      <c r="F98" s="267"/>
      <c r="G98" s="267"/>
      <c r="H98" s="267"/>
      <c r="I98" s="267"/>
      <c r="J98" s="267"/>
      <c r="K98" s="268"/>
      <c r="L98" s="267"/>
      <c r="M98" s="267"/>
      <c r="N98" s="267"/>
      <c r="O98" s="267"/>
      <c r="P98" s="267"/>
      <c r="Q98" s="267"/>
      <c r="R98" s="267"/>
      <c r="S98" s="267"/>
      <c r="T98" s="268"/>
      <c r="U98" s="268"/>
      <c r="V98" s="267"/>
      <c r="W98" s="267"/>
      <c r="X98" s="267"/>
      <c r="Y98" s="267"/>
      <c r="Z98" s="267"/>
      <c r="AA98" s="267"/>
      <c r="AB98" s="267"/>
      <c r="AC98" s="267"/>
      <c r="AD98" s="268"/>
      <c r="AE98" s="268"/>
      <c r="AF98" s="24"/>
      <c r="AG98" s="24"/>
      <c r="AH98" s="24"/>
      <c r="AI98" s="24"/>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row>
    <row r="99">
      <c r="A99" s="3"/>
      <c r="B99" s="3"/>
      <c r="C99" s="267"/>
      <c r="D99" s="267"/>
      <c r="E99" s="267"/>
      <c r="F99" s="267"/>
      <c r="G99" s="267"/>
      <c r="H99" s="267"/>
      <c r="I99" s="267"/>
      <c r="J99" s="267"/>
      <c r="K99" s="268"/>
      <c r="L99" s="267"/>
      <c r="M99" s="267"/>
      <c r="N99" s="267"/>
      <c r="O99" s="267"/>
      <c r="P99" s="267"/>
      <c r="Q99" s="267"/>
      <c r="R99" s="267"/>
      <c r="S99" s="267"/>
      <c r="T99" s="268"/>
      <c r="U99" s="268"/>
      <c r="V99" s="267"/>
      <c r="W99" s="267"/>
      <c r="X99" s="267"/>
      <c r="Y99" s="267"/>
      <c r="Z99" s="267"/>
      <c r="AA99" s="267"/>
      <c r="AB99" s="267"/>
      <c r="AC99" s="267"/>
      <c r="AD99" s="268"/>
      <c r="AE99" s="268"/>
      <c r="AF99" s="24"/>
      <c r="AG99" s="24"/>
      <c r="AH99" s="24"/>
      <c r="AI99" s="24"/>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row>
    <row r="100">
      <c r="A100" s="3"/>
      <c r="B100" s="3"/>
      <c r="C100" s="267"/>
      <c r="D100" s="267"/>
      <c r="E100" s="267"/>
      <c r="F100" s="267"/>
      <c r="G100" s="267"/>
      <c r="H100" s="267"/>
      <c r="I100" s="267"/>
      <c r="J100" s="267"/>
      <c r="K100" s="268"/>
      <c r="L100" s="267"/>
      <c r="M100" s="267"/>
      <c r="N100" s="267"/>
      <c r="O100" s="267"/>
      <c r="P100" s="267"/>
      <c r="Q100" s="267"/>
      <c r="R100" s="267"/>
      <c r="S100" s="267"/>
      <c r="T100" s="268"/>
      <c r="U100" s="268"/>
      <c r="V100" s="267"/>
      <c r="W100" s="267"/>
      <c r="X100" s="267"/>
      <c r="Y100" s="267"/>
      <c r="Z100" s="267"/>
      <c r="AA100" s="267"/>
      <c r="AB100" s="267"/>
      <c r="AC100" s="267"/>
      <c r="AD100" s="268"/>
      <c r="AE100" s="268"/>
      <c r="AF100" s="24"/>
      <c r="AG100" s="24"/>
      <c r="AH100" s="24"/>
      <c r="AI100" s="24"/>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row>
    <row r="101">
      <c r="A101" s="3"/>
      <c r="B101" s="3"/>
      <c r="C101" s="267"/>
      <c r="D101" s="267"/>
      <c r="E101" s="267"/>
      <c r="F101" s="267"/>
      <c r="G101" s="267"/>
      <c r="H101" s="267"/>
      <c r="I101" s="267"/>
      <c r="J101" s="267"/>
      <c r="K101" s="268"/>
      <c r="L101" s="267"/>
      <c r="M101" s="267"/>
      <c r="N101" s="267"/>
      <c r="O101" s="267"/>
      <c r="P101" s="267"/>
      <c r="Q101" s="267"/>
      <c r="R101" s="267"/>
      <c r="S101" s="267"/>
      <c r="T101" s="268"/>
      <c r="U101" s="268"/>
      <c r="V101" s="267"/>
      <c r="W101" s="267"/>
      <c r="X101" s="267"/>
      <c r="Y101" s="267"/>
      <c r="Z101" s="267"/>
      <c r="AA101" s="267"/>
      <c r="AB101" s="267"/>
      <c r="AC101" s="267"/>
      <c r="AD101" s="268"/>
      <c r="AE101" s="268"/>
      <c r="AF101" s="24"/>
      <c r="AG101" s="24"/>
      <c r="AH101" s="24"/>
      <c r="AI101" s="24"/>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row>
    <row r="102">
      <c r="A102" s="3"/>
      <c r="B102" s="3"/>
      <c r="C102" s="267"/>
      <c r="D102" s="267"/>
      <c r="E102" s="267"/>
      <c r="F102" s="267"/>
      <c r="G102" s="267"/>
      <c r="H102" s="267"/>
      <c r="I102" s="267"/>
      <c r="J102" s="267"/>
      <c r="K102" s="268"/>
      <c r="L102" s="267"/>
      <c r="M102" s="267"/>
      <c r="N102" s="267"/>
      <c r="O102" s="267"/>
      <c r="P102" s="267"/>
      <c r="Q102" s="267"/>
      <c r="R102" s="267"/>
      <c r="S102" s="267"/>
      <c r="T102" s="268"/>
      <c r="U102" s="268"/>
      <c r="V102" s="267"/>
      <c r="W102" s="267"/>
      <c r="X102" s="267"/>
      <c r="Y102" s="267"/>
      <c r="Z102" s="267"/>
      <c r="AA102" s="267"/>
      <c r="AB102" s="267"/>
      <c r="AC102" s="267"/>
      <c r="AD102" s="268"/>
      <c r="AE102" s="268"/>
      <c r="AF102" s="24"/>
      <c r="AG102" s="24"/>
      <c r="AH102" s="24"/>
      <c r="AI102" s="24"/>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row>
    <row r="103">
      <c r="A103" s="3"/>
      <c r="B103" s="3"/>
      <c r="C103" s="267"/>
      <c r="D103" s="267"/>
      <c r="E103" s="267"/>
      <c r="F103" s="267"/>
      <c r="G103" s="267"/>
      <c r="H103" s="267"/>
      <c r="I103" s="267"/>
      <c r="J103" s="267"/>
      <c r="K103" s="268"/>
      <c r="L103" s="267"/>
      <c r="M103" s="267"/>
      <c r="N103" s="267"/>
      <c r="O103" s="267"/>
      <c r="P103" s="267"/>
      <c r="Q103" s="267"/>
      <c r="R103" s="267"/>
      <c r="S103" s="267"/>
      <c r="T103" s="268"/>
      <c r="U103" s="268"/>
      <c r="V103" s="267"/>
      <c r="W103" s="267"/>
      <c r="X103" s="267"/>
      <c r="Y103" s="267"/>
      <c r="Z103" s="267"/>
      <c r="AA103" s="267"/>
      <c r="AB103" s="267"/>
      <c r="AC103" s="267"/>
      <c r="AD103" s="268"/>
      <c r="AE103" s="268"/>
      <c r="AF103" s="24"/>
      <c r="AG103" s="24"/>
      <c r="AH103" s="24"/>
      <c r="AI103" s="24"/>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row>
    <row r="104">
      <c r="A104" s="3"/>
      <c r="B104" s="3"/>
      <c r="C104" s="267"/>
      <c r="D104" s="267"/>
      <c r="E104" s="267"/>
      <c r="F104" s="267"/>
      <c r="G104" s="267"/>
      <c r="H104" s="267"/>
      <c r="I104" s="267"/>
      <c r="J104" s="267"/>
      <c r="K104" s="268"/>
      <c r="L104" s="267"/>
      <c r="M104" s="267"/>
      <c r="N104" s="267"/>
      <c r="O104" s="267"/>
      <c r="P104" s="267"/>
      <c r="Q104" s="267"/>
      <c r="R104" s="267"/>
      <c r="S104" s="267"/>
      <c r="T104" s="268"/>
      <c r="U104" s="268"/>
      <c r="V104" s="267"/>
      <c r="W104" s="267"/>
      <c r="X104" s="267"/>
      <c r="Y104" s="267"/>
      <c r="Z104" s="267"/>
      <c r="AA104" s="267"/>
      <c r="AB104" s="267"/>
      <c r="AC104" s="267"/>
      <c r="AD104" s="268"/>
      <c r="AE104" s="268"/>
      <c r="AF104" s="24"/>
      <c r="AG104" s="24"/>
      <c r="AH104" s="24"/>
      <c r="AI104" s="24"/>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row>
    <row r="105">
      <c r="A105" s="3"/>
      <c r="B105" s="3"/>
      <c r="C105" s="267"/>
      <c r="D105" s="267"/>
      <c r="E105" s="267"/>
      <c r="F105" s="267"/>
      <c r="G105" s="267"/>
      <c r="H105" s="267"/>
      <c r="I105" s="267"/>
      <c r="J105" s="267"/>
      <c r="K105" s="268"/>
      <c r="L105" s="267"/>
      <c r="M105" s="267"/>
      <c r="N105" s="267"/>
      <c r="O105" s="267"/>
      <c r="P105" s="267"/>
      <c r="Q105" s="267"/>
      <c r="R105" s="267"/>
      <c r="S105" s="267"/>
      <c r="T105" s="268"/>
      <c r="U105" s="268"/>
      <c r="V105" s="267"/>
      <c r="W105" s="267"/>
      <c r="X105" s="267"/>
      <c r="Y105" s="267"/>
      <c r="Z105" s="267"/>
      <c r="AA105" s="267"/>
      <c r="AB105" s="267"/>
      <c r="AC105" s="267"/>
      <c r="AD105" s="268"/>
      <c r="AE105" s="268"/>
      <c r="AF105" s="24"/>
      <c r="AG105" s="24"/>
      <c r="AH105" s="24"/>
      <c r="AI105" s="24"/>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row>
    <row r="106">
      <c r="A106" s="3"/>
      <c r="B106" s="3"/>
      <c r="C106" s="267"/>
      <c r="D106" s="267"/>
      <c r="E106" s="267"/>
      <c r="F106" s="267"/>
      <c r="G106" s="267"/>
      <c r="H106" s="267"/>
      <c r="I106" s="267"/>
      <c r="J106" s="267"/>
      <c r="K106" s="268"/>
      <c r="L106" s="267"/>
      <c r="M106" s="267"/>
      <c r="N106" s="267"/>
      <c r="O106" s="267"/>
      <c r="P106" s="267"/>
      <c r="Q106" s="267"/>
      <c r="R106" s="267"/>
      <c r="S106" s="267"/>
      <c r="T106" s="268"/>
      <c r="U106" s="268"/>
      <c r="V106" s="267"/>
      <c r="W106" s="267"/>
      <c r="X106" s="267"/>
      <c r="Y106" s="267"/>
      <c r="Z106" s="267"/>
      <c r="AA106" s="267"/>
      <c r="AB106" s="267"/>
      <c r="AC106" s="267"/>
      <c r="AD106" s="268"/>
      <c r="AE106" s="268"/>
      <c r="AF106" s="24"/>
      <c r="AG106" s="24"/>
      <c r="AH106" s="24"/>
      <c r="AI106" s="24"/>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row>
    <row r="107">
      <c r="A107" s="3"/>
      <c r="B107" s="3"/>
      <c r="C107" s="267"/>
      <c r="D107" s="267"/>
      <c r="E107" s="267"/>
      <c r="F107" s="267"/>
      <c r="G107" s="267"/>
      <c r="H107" s="267"/>
      <c r="I107" s="267"/>
      <c r="J107" s="267"/>
      <c r="K107" s="268"/>
      <c r="L107" s="267"/>
      <c r="M107" s="267"/>
      <c r="N107" s="267"/>
      <c r="O107" s="267"/>
      <c r="P107" s="267"/>
      <c r="Q107" s="267"/>
      <c r="R107" s="267"/>
      <c r="S107" s="267"/>
      <c r="T107" s="268"/>
      <c r="U107" s="268"/>
      <c r="V107" s="267"/>
      <c r="W107" s="267"/>
      <c r="X107" s="267"/>
      <c r="Y107" s="267"/>
      <c r="Z107" s="267"/>
      <c r="AA107" s="267"/>
      <c r="AB107" s="267"/>
      <c r="AC107" s="267"/>
      <c r="AD107" s="268"/>
      <c r="AE107" s="268"/>
      <c r="AF107" s="24"/>
      <c r="AG107" s="24"/>
      <c r="AH107" s="24"/>
      <c r="AI107" s="24"/>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row>
    <row r="108">
      <c r="A108" s="3"/>
      <c r="B108" s="3"/>
      <c r="C108" s="267"/>
      <c r="D108" s="267"/>
      <c r="E108" s="267"/>
      <c r="F108" s="267"/>
      <c r="G108" s="267"/>
      <c r="H108" s="267"/>
      <c r="I108" s="267"/>
      <c r="J108" s="267"/>
      <c r="K108" s="268"/>
      <c r="L108" s="267"/>
      <c r="M108" s="267"/>
      <c r="N108" s="267"/>
      <c r="O108" s="267"/>
      <c r="P108" s="267"/>
      <c r="Q108" s="267"/>
      <c r="R108" s="267"/>
      <c r="S108" s="267"/>
      <c r="T108" s="268"/>
      <c r="U108" s="268"/>
      <c r="V108" s="267"/>
      <c r="W108" s="267"/>
      <c r="X108" s="267"/>
      <c r="Y108" s="267"/>
      <c r="Z108" s="267"/>
      <c r="AA108" s="267"/>
      <c r="AB108" s="267"/>
      <c r="AC108" s="267"/>
      <c r="AD108" s="268"/>
      <c r="AE108" s="268"/>
      <c r="AF108" s="24"/>
      <c r="AG108" s="24"/>
      <c r="AH108" s="24"/>
      <c r="AI108" s="24"/>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row>
    <row r="109">
      <c r="A109" s="3"/>
      <c r="B109" s="3"/>
      <c r="C109" s="267"/>
      <c r="D109" s="267"/>
      <c r="E109" s="267"/>
      <c r="F109" s="267"/>
      <c r="G109" s="267"/>
      <c r="H109" s="267"/>
      <c r="I109" s="267"/>
      <c r="J109" s="267"/>
      <c r="K109" s="268"/>
      <c r="L109" s="267"/>
      <c r="M109" s="267"/>
      <c r="N109" s="267"/>
      <c r="O109" s="267"/>
      <c r="P109" s="267"/>
      <c r="Q109" s="267"/>
      <c r="R109" s="267"/>
      <c r="S109" s="267"/>
      <c r="T109" s="268"/>
      <c r="U109" s="268"/>
      <c r="V109" s="267"/>
      <c r="W109" s="267"/>
      <c r="X109" s="267"/>
      <c r="Y109" s="267"/>
      <c r="Z109" s="267"/>
      <c r="AA109" s="267"/>
      <c r="AB109" s="267"/>
      <c r="AC109" s="267"/>
      <c r="AD109" s="268"/>
      <c r="AE109" s="268"/>
      <c r="AF109" s="24"/>
      <c r="AG109" s="24"/>
      <c r="AH109" s="24"/>
      <c r="AI109" s="24"/>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row>
    <row r="110">
      <c r="A110" s="3"/>
      <c r="B110" s="3"/>
      <c r="C110" s="267"/>
      <c r="D110" s="267"/>
      <c r="E110" s="267"/>
      <c r="F110" s="267"/>
      <c r="G110" s="267"/>
      <c r="H110" s="267"/>
      <c r="I110" s="267"/>
      <c r="J110" s="267"/>
      <c r="K110" s="268"/>
      <c r="L110" s="267"/>
      <c r="M110" s="267"/>
      <c r="N110" s="267"/>
      <c r="O110" s="267"/>
      <c r="P110" s="267"/>
      <c r="Q110" s="267"/>
      <c r="R110" s="267"/>
      <c r="S110" s="267"/>
      <c r="T110" s="268"/>
      <c r="U110" s="268"/>
      <c r="V110" s="267"/>
      <c r="W110" s="267"/>
      <c r="X110" s="267"/>
      <c r="Y110" s="267"/>
      <c r="Z110" s="267"/>
      <c r="AA110" s="267"/>
      <c r="AB110" s="267"/>
      <c r="AC110" s="267"/>
      <c r="AD110" s="268"/>
      <c r="AE110" s="268"/>
      <c r="AF110" s="24"/>
      <c r="AG110" s="24"/>
      <c r="AH110" s="24"/>
      <c r="AI110" s="24"/>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row>
    <row r="111">
      <c r="A111" s="3"/>
      <c r="B111" s="3"/>
      <c r="C111" s="267"/>
      <c r="D111" s="267"/>
      <c r="E111" s="267"/>
      <c r="F111" s="267"/>
      <c r="G111" s="267"/>
      <c r="H111" s="267"/>
      <c r="I111" s="267"/>
      <c r="J111" s="267"/>
      <c r="K111" s="268"/>
      <c r="L111" s="267"/>
      <c r="M111" s="267"/>
      <c r="N111" s="267"/>
      <c r="O111" s="267"/>
      <c r="P111" s="267"/>
      <c r="Q111" s="267"/>
      <c r="R111" s="267"/>
      <c r="S111" s="267"/>
      <c r="T111" s="268"/>
      <c r="U111" s="268"/>
      <c r="V111" s="267"/>
      <c r="W111" s="267"/>
      <c r="X111" s="267"/>
      <c r="Y111" s="267"/>
      <c r="Z111" s="267"/>
      <c r="AA111" s="267"/>
      <c r="AB111" s="267"/>
      <c r="AC111" s="267"/>
      <c r="AD111" s="268"/>
      <c r="AE111" s="268"/>
      <c r="AF111" s="24"/>
      <c r="AG111" s="24"/>
      <c r="AH111" s="24"/>
      <c r="AI111" s="24"/>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row>
    <row r="112">
      <c r="A112" s="3"/>
      <c r="B112" s="3"/>
      <c r="C112" s="267"/>
      <c r="D112" s="267"/>
      <c r="E112" s="267"/>
      <c r="F112" s="267"/>
      <c r="G112" s="267"/>
      <c r="H112" s="267"/>
      <c r="I112" s="267"/>
      <c r="J112" s="267"/>
      <c r="K112" s="268"/>
      <c r="L112" s="267"/>
      <c r="M112" s="267"/>
      <c r="N112" s="267"/>
      <c r="O112" s="267"/>
      <c r="P112" s="267"/>
      <c r="Q112" s="267"/>
      <c r="R112" s="267"/>
      <c r="S112" s="267"/>
      <c r="T112" s="268"/>
      <c r="U112" s="268"/>
      <c r="V112" s="267"/>
      <c r="W112" s="267"/>
      <c r="X112" s="267"/>
      <c r="Y112" s="267"/>
      <c r="Z112" s="267"/>
      <c r="AA112" s="267"/>
      <c r="AB112" s="267"/>
      <c r="AC112" s="267"/>
      <c r="AD112" s="268"/>
      <c r="AE112" s="268"/>
      <c r="AF112" s="24"/>
      <c r="AG112" s="24"/>
      <c r="AH112" s="24"/>
      <c r="AI112" s="24"/>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row>
    <row r="113">
      <c r="A113" s="3"/>
      <c r="B113" s="3"/>
      <c r="C113" s="267"/>
      <c r="D113" s="267"/>
      <c r="E113" s="267"/>
      <c r="F113" s="267"/>
      <c r="G113" s="267"/>
      <c r="H113" s="267"/>
      <c r="I113" s="267"/>
      <c r="J113" s="267"/>
      <c r="K113" s="268"/>
      <c r="L113" s="267"/>
      <c r="M113" s="267"/>
      <c r="N113" s="267"/>
      <c r="O113" s="267"/>
      <c r="P113" s="267"/>
      <c r="Q113" s="267"/>
      <c r="R113" s="267"/>
      <c r="S113" s="267"/>
      <c r="T113" s="268"/>
      <c r="U113" s="268"/>
      <c r="V113" s="267"/>
      <c r="W113" s="267"/>
      <c r="X113" s="267"/>
      <c r="Y113" s="267"/>
      <c r="Z113" s="267"/>
      <c r="AA113" s="267"/>
      <c r="AB113" s="267"/>
      <c r="AC113" s="267"/>
      <c r="AD113" s="268"/>
      <c r="AE113" s="268"/>
      <c r="AF113" s="24"/>
      <c r="AG113" s="24"/>
      <c r="AH113" s="24"/>
      <c r="AI113" s="24"/>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row>
    <row r="114">
      <c r="A114" s="3"/>
      <c r="B114" s="3"/>
      <c r="C114" s="267"/>
      <c r="D114" s="267"/>
      <c r="E114" s="267"/>
      <c r="F114" s="267"/>
      <c r="G114" s="267"/>
      <c r="H114" s="267"/>
      <c r="I114" s="267"/>
      <c r="J114" s="267"/>
      <c r="K114" s="268"/>
      <c r="L114" s="267"/>
      <c r="M114" s="267"/>
      <c r="N114" s="267"/>
      <c r="O114" s="267"/>
      <c r="P114" s="267"/>
      <c r="Q114" s="267"/>
      <c r="R114" s="267"/>
      <c r="S114" s="267"/>
      <c r="T114" s="268"/>
      <c r="U114" s="268"/>
      <c r="V114" s="267"/>
      <c r="W114" s="267"/>
      <c r="X114" s="267"/>
      <c r="Y114" s="267"/>
      <c r="Z114" s="267"/>
      <c r="AA114" s="267"/>
      <c r="AB114" s="267"/>
      <c r="AC114" s="267"/>
      <c r="AD114" s="268"/>
      <c r="AE114" s="268"/>
      <c r="AF114" s="24"/>
      <c r="AG114" s="24"/>
      <c r="AH114" s="24"/>
      <c r="AI114" s="24"/>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row>
    <row r="115">
      <c r="A115" s="3"/>
      <c r="B115" s="3"/>
      <c r="C115" s="267"/>
      <c r="D115" s="267"/>
      <c r="E115" s="267"/>
      <c r="F115" s="267"/>
      <c r="G115" s="267"/>
      <c r="H115" s="267"/>
      <c r="I115" s="267"/>
      <c r="J115" s="267"/>
      <c r="K115" s="268"/>
      <c r="L115" s="267"/>
      <c r="M115" s="267"/>
      <c r="N115" s="267"/>
      <c r="O115" s="267"/>
      <c r="P115" s="267"/>
      <c r="Q115" s="267"/>
      <c r="R115" s="267"/>
      <c r="S115" s="267"/>
      <c r="T115" s="268"/>
      <c r="U115" s="268"/>
      <c r="V115" s="267"/>
      <c r="W115" s="267"/>
      <c r="X115" s="267"/>
      <c r="Y115" s="267"/>
      <c r="Z115" s="267"/>
      <c r="AA115" s="267"/>
      <c r="AB115" s="267"/>
      <c r="AC115" s="267"/>
      <c r="AD115" s="268"/>
      <c r="AE115" s="268"/>
      <c r="AF115" s="24"/>
      <c r="AG115" s="24"/>
      <c r="AH115" s="24"/>
      <c r="AI115" s="24"/>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row>
    <row r="116">
      <c r="A116" s="3"/>
      <c r="B116" s="3"/>
      <c r="C116" s="267"/>
      <c r="D116" s="267"/>
      <c r="E116" s="267"/>
      <c r="F116" s="267"/>
      <c r="G116" s="267"/>
      <c r="H116" s="267"/>
      <c r="I116" s="267"/>
      <c r="J116" s="267"/>
      <c r="K116" s="268"/>
      <c r="L116" s="267"/>
      <c r="M116" s="267"/>
      <c r="N116" s="267"/>
      <c r="O116" s="267"/>
      <c r="P116" s="267"/>
      <c r="Q116" s="267"/>
      <c r="R116" s="267"/>
      <c r="S116" s="267"/>
      <c r="T116" s="268"/>
      <c r="U116" s="268"/>
      <c r="V116" s="267"/>
      <c r="W116" s="267"/>
      <c r="X116" s="267"/>
      <c r="Y116" s="267"/>
      <c r="Z116" s="267"/>
      <c r="AA116" s="267"/>
      <c r="AB116" s="267"/>
      <c r="AC116" s="267"/>
      <c r="AD116" s="268"/>
      <c r="AE116" s="268"/>
      <c r="AF116" s="24"/>
      <c r="AG116" s="24"/>
      <c r="AH116" s="24"/>
      <c r="AI116" s="24"/>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row>
    <row r="117">
      <c r="A117" s="3"/>
      <c r="B117" s="3"/>
      <c r="C117" s="267"/>
      <c r="D117" s="267"/>
      <c r="E117" s="267"/>
      <c r="F117" s="267"/>
      <c r="G117" s="267"/>
      <c r="H117" s="267"/>
      <c r="I117" s="267"/>
      <c r="J117" s="267"/>
      <c r="K117" s="268"/>
      <c r="L117" s="267"/>
      <c r="M117" s="267"/>
      <c r="N117" s="267"/>
      <c r="O117" s="267"/>
      <c r="P117" s="267"/>
      <c r="Q117" s="267"/>
      <c r="R117" s="267"/>
      <c r="S117" s="267"/>
      <c r="T117" s="268"/>
      <c r="U117" s="268"/>
      <c r="V117" s="267"/>
      <c r="W117" s="267"/>
      <c r="X117" s="267"/>
      <c r="Y117" s="267"/>
      <c r="Z117" s="267"/>
      <c r="AA117" s="267"/>
      <c r="AB117" s="267"/>
      <c r="AC117" s="267"/>
      <c r="AD117" s="268"/>
      <c r="AE117" s="268"/>
      <c r="AF117" s="24"/>
      <c r="AG117" s="24"/>
      <c r="AH117" s="24"/>
      <c r="AI117" s="24"/>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row>
    <row r="118">
      <c r="A118" s="3"/>
      <c r="B118" s="3"/>
      <c r="C118" s="267"/>
      <c r="D118" s="267"/>
      <c r="E118" s="267"/>
      <c r="F118" s="267"/>
      <c r="G118" s="267"/>
      <c r="H118" s="267"/>
      <c r="I118" s="267"/>
      <c r="J118" s="267"/>
      <c r="K118" s="268"/>
      <c r="L118" s="267"/>
      <c r="M118" s="267"/>
      <c r="N118" s="267"/>
      <c r="O118" s="267"/>
      <c r="P118" s="267"/>
      <c r="Q118" s="267"/>
      <c r="R118" s="267"/>
      <c r="S118" s="267"/>
      <c r="T118" s="268"/>
      <c r="U118" s="268"/>
      <c r="V118" s="267"/>
      <c r="W118" s="267"/>
      <c r="X118" s="267"/>
      <c r="Y118" s="267"/>
      <c r="Z118" s="267"/>
      <c r="AA118" s="267"/>
      <c r="AB118" s="267"/>
      <c r="AC118" s="267"/>
      <c r="AD118" s="268"/>
      <c r="AE118" s="268"/>
      <c r="AF118" s="24"/>
      <c r="AG118" s="24"/>
      <c r="AH118" s="24"/>
      <c r="AI118" s="24"/>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row>
    <row r="119">
      <c r="A119" s="3"/>
      <c r="B119" s="3"/>
      <c r="C119" s="267"/>
      <c r="D119" s="267"/>
      <c r="E119" s="267"/>
      <c r="F119" s="267"/>
      <c r="G119" s="267"/>
      <c r="H119" s="267"/>
      <c r="I119" s="267"/>
      <c r="J119" s="267"/>
      <c r="K119" s="268"/>
      <c r="L119" s="267"/>
      <c r="M119" s="267"/>
      <c r="N119" s="267"/>
      <c r="O119" s="267"/>
      <c r="P119" s="267"/>
      <c r="Q119" s="267"/>
      <c r="R119" s="267"/>
      <c r="S119" s="267"/>
      <c r="T119" s="268"/>
      <c r="U119" s="268"/>
      <c r="V119" s="267"/>
      <c r="W119" s="267"/>
      <c r="X119" s="267"/>
      <c r="Y119" s="267"/>
      <c r="Z119" s="267"/>
      <c r="AA119" s="267"/>
      <c r="AB119" s="267"/>
      <c r="AC119" s="267"/>
      <c r="AD119" s="268"/>
      <c r="AE119" s="268"/>
      <c r="AF119" s="24"/>
      <c r="AG119" s="24"/>
      <c r="AH119" s="24"/>
      <c r="AI119" s="24"/>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row>
    <row r="120">
      <c r="A120" s="3"/>
      <c r="B120" s="3"/>
      <c r="C120" s="267"/>
      <c r="D120" s="267"/>
      <c r="E120" s="267"/>
      <c r="F120" s="267"/>
      <c r="G120" s="267"/>
      <c r="H120" s="267"/>
      <c r="I120" s="267"/>
      <c r="J120" s="267"/>
      <c r="K120" s="268"/>
      <c r="L120" s="267"/>
      <c r="M120" s="267"/>
      <c r="N120" s="267"/>
      <c r="O120" s="267"/>
      <c r="P120" s="267"/>
      <c r="Q120" s="267"/>
      <c r="R120" s="267"/>
      <c r="S120" s="267"/>
      <c r="T120" s="268"/>
      <c r="U120" s="268"/>
      <c r="V120" s="267"/>
      <c r="W120" s="267"/>
      <c r="X120" s="267"/>
      <c r="Y120" s="267"/>
      <c r="Z120" s="267"/>
      <c r="AA120" s="267"/>
      <c r="AB120" s="267"/>
      <c r="AC120" s="267"/>
      <c r="AD120" s="268"/>
      <c r="AE120" s="268"/>
      <c r="AF120" s="24"/>
      <c r="AG120" s="24"/>
      <c r="AH120" s="24"/>
      <c r="AI120" s="24"/>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row>
    <row r="121">
      <c r="A121" s="3"/>
      <c r="B121" s="3"/>
      <c r="C121" s="267"/>
      <c r="D121" s="267"/>
      <c r="E121" s="267"/>
      <c r="F121" s="267"/>
      <c r="G121" s="267"/>
      <c r="H121" s="267"/>
      <c r="I121" s="267"/>
      <c r="J121" s="267"/>
      <c r="K121" s="268"/>
      <c r="L121" s="267"/>
      <c r="M121" s="267"/>
      <c r="N121" s="267"/>
      <c r="O121" s="267"/>
      <c r="P121" s="267"/>
      <c r="Q121" s="267"/>
      <c r="R121" s="267"/>
      <c r="S121" s="267"/>
      <c r="T121" s="268"/>
      <c r="U121" s="268"/>
      <c r="V121" s="267"/>
      <c r="W121" s="267"/>
      <c r="X121" s="267"/>
      <c r="Y121" s="267"/>
      <c r="Z121" s="267"/>
      <c r="AA121" s="267"/>
      <c r="AB121" s="267"/>
      <c r="AC121" s="267"/>
      <c r="AD121" s="268"/>
      <c r="AE121" s="268"/>
      <c r="AF121" s="24"/>
      <c r="AG121" s="24"/>
      <c r="AH121" s="24"/>
      <c r="AI121" s="24"/>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row>
    <row r="122">
      <c r="A122" s="3"/>
      <c r="B122" s="3"/>
      <c r="C122" s="267"/>
      <c r="D122" s="267"/>
      <c r="E122" s="267"/>
      <c r="F122" s="267"/>
      <c r="G122" s="267"/>
      <c r="H122" s="267"/>
      <c r="I122" s="267"/>
      <c r="J122" s="267"/>
      <c r="K122" s="268"/>
      <c r="L122" s="267"/>
      <c r="M122" s="267"/>
      <c r="N122" s="267"/>
      <c r="O122" s="267"/>
      <c r="P122" s="267"/>
      <c r="Q122" s="267"/>
      <c r="R122" s="267"/>
      <c r="S122" s="267"/>
      <c r="T122" s="268"/>
      <c r="U122" s="268"/>
      <c r="V122" s="267"/>
      <c r="W122" s="267"/>
      <c r="X122" s="267"/>
      <c r="Y122" s="267"/>
      <c r="Z122" s="267"/>
      <c r="AA122" s="267"/>
      <c r="AB122" s="267"/>
      <c r="AC122" s="267"/>
      <c r="AD122" s="268"/>
      <c r="AE122" s="268"/>
      <c r="AF122" s="24"/>
      <c r="AG122" s="24"/>
      <c r="AH122" s="24"/>
      <c r="AI122" s="24"/>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row>
    <row r="123">
      <c r="A123" s="3"/>
      <c r="B123" s="3"/>
      <c r="C123" s="267"/>
      <c r="D123" s="267"/>
      <c r="E123" s="267"/>
      <c r="F123" s="267"/>
      <c r="G123" s="267"/>
      <c r="H123" s="267"/>
      <c r="I123" s="267"/>
      <c r="J123" s="267"/>
      <c r="K123" s="268"/>
      <c r="L123" s="267"/>
      <c r="M123" s="267"/>
      <c r="N123" s="267"/>
      <c r="O123" s="267"/>
      <c r="P123" s="267"/>
      <c r="Q123" s="267"/>
      <c r="R123" s="267"/>
      <c r="S123" s="267"/>
      <c r="T123" s="268"/>
      <c r="U123" s="268"/>
      <c r="V123" s="267"/>
      <c r="W123" s="267"/>
      <c r="X123" s="267"/>
      <c r="Y123" s="267"/>
      <c r="Z123" s="267"/>
      <c r="AA123" s="267"/>
      <c r="AB123" s="267"/>
      <c r="AC123" s="267"/>
      <c r="AD123" s="268"/>
      <c r="AE123" s="268"/>
      <c r="AF123" s="24"/>
      <c r="AG123" s="24"/>
      <c r="AH123" s="24"/>
      <c r="AI123" s="24"/>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row>
    <row r="124">
      <c r="A124" s="3"/>
      <c r="B124" s="3"/>
      <c r="C124" s="267"/>
      <c r="D124" s="267"/>
      <c r="E124" s="267"/>
      <c r="F124" s="267"/>
      <c r="G124" s="267"/>
      <c r="H124" s="267"/>
      <c r="I124" s="267"/>
      <c r="J124" s="267"/>
      <c r="K124" s="268"/>
      <c r="L124" s="267"/>
      <c r="M124" s="267"/>
      <c r="N124" s="267"/>
      <c r="O124" s="267"/>
      <c r="P124" s="267"/>
      <c r="Q124" s="267"/>
      <c r="R124" s="267"/>
      <c r="S124" s="267"/>
      <c r="T124" s="268"/>
      <c r="U124" s="268"/>
      <c r="V124" s="267"/>
      <c r="W124" s="267"/>
      <c r="X124" s="267"/>
      <c r="Y124" s="267"/>
      <c r="Z124" s="267"/>
      <c r="AA124" s="267"/>
      <c r="AB124" s="267"/>
      <c r="AC124" s="267"/>
      <c r="AD124" s="268"/>
      <c r="AE124" s="268"/>
      <c r="AF124" s="24"/>
      <c r="AG124" s="24"/>
      <c r="AH124" s="24"/>
      <c r="AI124" s="24"/>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row>
    <row r="125">
      <c r="A125" s="3"/>
      <c r="B125" s="3"/>
      <c r="C125" s="267"/>
      <c r="D125" s="267"/>
      <c r="E125" s="267"/>
      <c r="F125" s="267"/>
      <c r="G125" s="267"/>
      <c r="H125" s="267"/>
      <c r="I125" s="267"/>
      <c r="J125" s="267"/>
      <c r="K125" s="268"/>
      <c r="L125" s="267"/>
      <c r="M125" s="267"/>
      <c r="N125" s="267"/>
      <c r="O125" s="267"/>
      <c r="P125" s="267"/>
      <c r="Q125" s="267"/>
      <c r="R125" s="267"/>
      <c r="S125" s="267"/>
      <c r="T125" s="268"/>
      <c r="U125" s="268"/>
      <c r="V125" s="267"/>
      <c r="W125" s="267"/>
      <c r="X125" s="267"/>
      <c r="Y125" s="267"/>
      <c r="Z125" s="267"/>
      <c r="AA125" s="267"/>
      <c r="AB125" s="267"/>
      <c r="AC125" s="267"/>
      <c r="AD125" s="268"/>
      <c r="AE125" s="268"/>
      <c r="AF125" s="24"/>
      <c r="AG125" s="24"/>
      <c r="AH125" s="24"/>
      <c r="AI125" s="24"/>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row>
    <row r="126">
      <c r="A126" s="3"/>
      <c r="B126" s="3"/>
      <c r="C126" s="267"/>
      <c r="D126" s="267"/>
      <c r="E126" s="267"/>
      <c r="F126" s="267"/>
      <c r="G126" s="267"/>
      <c r="H126" s="267"/>
      <c r="I126" s="267"/>
      <c r="J126" s="267"/>
      <c r="K126" s="268"/>
      <c r="L126" s="267"/>
      <c r="M126" s="267"/>
      <c r="N126" s="267"/>
      <c r="O126" s="267"/>
      <c r="P126" s="267"/>
      <c r="Q126" s="267"/>
      <c r="R126" s="267"/>
      <c r="S126" s="267"/>
      <c r="T126" s="268"/>
      <c r="U126" s="268"/>
      <c r="V126" s="267"/>
      <c r="W126" s="267"/>
      <c r="X126" s="267"/>
      <c r="Y126" s="267"/>
      <c r="Z126" s="267"/>
      <c r="AA126" s="267"/>
      <c r="AB126" s="267"/>
      <c r="AC126" s="267"/>
      <c r="AD126" s="268"/>
      <c r="AE126" s="268"/>
      <c r="AF126" s="24"/>
      <c r="AG126" s="24"/>
      <c r="AH126" s="24"/>
      <c r="AI126" s="24"/>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row>
    <row r="127">
      <c r="A127" s="3"/>
      <c r="B127" s="3"/>
      <c r="C127" s="267"/>
      <c r="D127" s="267"/>
      <c r="E127" s="267"/>
      <c r="F127" s="267"/>
      <c r="G127" s="267"/>
      <c r="H127" s="267"/>
      <c r="I127" s="267"/>
      <c r="J127" s="267"/>
      <c r="K127" s="268"/>
      <c r="L127" s="267"/>
      <c r="M127" s="267"/>
      <c r="N127" s="267"/>
      <c r="O127" s="267"/>
      <c r="P127" s="267"/>
      <c r="Q127" s="267"/>
      <c r="R127" s="267"/>
      <c r="S127" s="267"/>
      <c r="T127" s="268"/>
      <c r="U127" s="268"/>
      <c r="V127" s="267"/>
      <c r="W127" s="267"/>
      <c r="X127" s="267"/>
      <c r="Y127" s="267"/>
      <c r="Z127" s="267"/>
      <c r="AA127" s="267"/>
      <c r="AB127" s="267"/>
      <c r="AC127" s="267"/>
      <c r="AD127" s="268"/>
      <c r="AE127" s="268"/>
      <c r="AF127" s="24"/>
      <c r="AG127" s="24"/>
      <c r="AH127" s="24"/>
      <c r="AI127" s="24"/>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row>
    <row r="128">
      <c r="A128" s="3"/>
      <c r="B128" s="3"/>
      <c r="C128" s="267"/>
      <c r="D128" s="267"/>
      <c r="E128" s="267"/>
      <c r="F128" s="267"/>
      <c r="G128" s="267"/>
      <c r="H128" s="267"/>
      <c r="I128" s="267"/>
      <c r="J128" s="267"/>
      <c r="K128" s="268"/>
      <c r="L128" s="267"/>
      <c r="M128" s="267"/>
      <c r="N128" s="267"/>
      <c r="O128" s="267"/>
      <c r="P128" s="267"/>
      <c r="Q128" s="267"/>
      <c r="R128" s="267"/>
      <c r="S128" s="267"/>
      <c r="T128" s="268"/>
      <c r="U128" s="268"/>
      <c r="V128" s="267"/>
      <c r="W128" s="267"/>
      <c r="X128" s="267"/>
      <c r="Y128" s="267"/>
      <c r="Z128" s="267"/>
      <c r="AA128" s="267"/>
      <c r="AB128" s="267"/>
      <c r="AC128" s="267"/>
      <c r="AD128" s="268"/>
      <c r="AE128" s="268"/>
      <c r="AF128" s="24"/>
      <c r="AG128" s="24"/>
      <c r="AH128" s="24"/>
      <c r="AI128" s="24"/>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row>
    <row r="129">
      <c r="A129" s="3"/>
      <c r="B129" s="3"/>
      <c r="C129" s="267"/>
      <c r="D129" s="267"/>
      <c r="E129" s="267"/>
      <c r="F129" s="267"/>
      <c r="G129" s="267"/>
      <c r="H129" s="267"/>
      <c r="I129" s="267"/>
      <c r="J129" s="267"/>
      <c r="K129" s="268"/>
      <c r="L129" s="267"/>
      <c r="M129" s="267"/>
      <c r="N129" s="267"/>
      <c r="O129" s="267"/>
      <c r="P129" s="267"/>
      <c r="Q129" s="267"/>
      <c r="R129" s="267"/>
      <c r="S129" s="267"/>
      <c r="T129" s="268"/>
      <c r="U129" s="268"/>
      <c r="V129" s="267"/>
      <c r="W129" s="267"/>
      <c r="X129" s="267"/>
      <c r="Y129" s="267"/>
      <c r="Z129" s="267"/>
      <c r="AA129" s="267"/>
      <c r="AB129" s="267"/>
      <c r="AC129" s="267"/>
      <c r="AD129" s="268"/>
      <c r="AE129" s="268"/>
      <c r="AF129" s="24"/>
      <c r="AG129" s="24"/>
      <c r="AH129" s="24"/>
      <c r="AI129" s="24"/>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row>
    <row r="130">
      <c r="A130" s="3"/>
      <c r="B130" s="3"/>
      <c r="C130" s="267"/>
      <c r="D130" s="267"/>
      <c r="E130" s="267"/>
      <c r="F130" s="267"/>
      <c r="G130" s="267"/>
      <c r="H130" s="267"/>
      <c r="I130" s="267"/>
      <c r="J130" s="267"/>
      <c r="K130" s="268"/>
      <c r="L130" s="267"/>
      <c r="M130" s="267"/>
      <c r="N130" s="267"/>
      <c r="O130" s="267"/>
      <c r="P130" s="267"/>
      <c r="Q130" s="267"/>
      <c r="R130" s="267"/>
      <c r="S130" s="267"/>
      <c r="T130" s="268"/>
      <c r="U130" s="268"/>
      <c r="V130" s="267"/>
      <c r="W130" s="267"/>
      <c r="X130" s="267"/>
      <c r="Y130" s="267"/>
      <c r="Z130" s="267"/>
      <c r="AA130" s="267"/>
      <c r="AB130" s="267"/>
      <c r="AC130" s="267"/>
      <c r="AD130" s="268"/>
      <c r="AE130" s="268"/>
      <c r="AF130" s="24"/>
      <c r="AG130" s="24"/>
      <c r="AH130" s="24"/>
      <c r="AI130" s="24"/>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row>
    <row r="131">
      <c r="A131" s="3"/>
      <c r="B131" s="3"/>
      <c r="C131" s="267"/>
      <c r="D131" s="267"/>
      <c r="E131" s="267"/>
      <c r="F131" s="267"/>
      <c r="G131" s="267"/>
      <c r="H131" s="267"/>
      <c r="I131" s="267"/>
      <c r="J131" s="267"/>
      <c r="K131" s="268"/>
      <c r="L131" s="267"/>
      <c r="M131" s="267"/>
      <c r="N131" s="267"/>
      <c r="O131" s="267"/>
      <c r="P131" s="267"/>
      <c r="Q131" s="267"/>
      <c r="R131" s="267"/>
      <c r="S131" s="267"/>
      <c r="T131" s="268"/>
      <c r="U131" s="268"/>
      <c r="V131" s="267"/>
      <c r="W131" s="267"/>
      <c r="X131" s="267"/>
      <c r="Y131" s="267"/>
      <c r="Z131" s="267"/>
      <c r="AA131" s="267"/>
      <c r="AB131" s="267"/>
      <c r="AC131" s="267"/>
      <c r="AD131" s="268"/>
      <c r="AE131" s="268"/>
      <c r="AF131" s="24"/>
      <c r="AG131" s="24"/>
      <c r="AH131" s="24"/>
      <c r="AI131" s="24"/>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row>
    <row r="132">
      <c r="A132" s="3"/>
      <c r="B132" s="3"/>
      <c r="C132" s="267"/>
      <c r="D132" s="267"/>
      <c r="E132" s="267"/>
      <c r="F132" s="267"/>
      <c r="G132" s="267"/>
      <c r="H132" s="267"/>
      <c r="I132" s="267"/>
      <c r="J132" s="267"/>
      <c r="K132" s="268"/>
      <c r="L132" s="267"/>
      <c r="M132" s="267"/>
      <c r="N132" s="267"/>
      <c r="O132" s="267"/>
      <c r="P132" s="267"/>
      <c r="Q132" s="267"/>
      <c r="R132" s="267"/>
      <c r="S132" s="267"/>
      <c r="T132" s="268"/>
      <c r="U132" s="268"/>
      <c r="V132" s="267"/>
      <c r="W132" s="267"/>
      <c r="X132" s="267"/>
      <c r="Y132" s="267"/>
      <c r="Z132" s="267"/>
      <c r="AA132" s="267"/>
      <c r="AB132" s="267"/>
      <c r="AC132" s="267"/>
      <c r="AD132" s="268"/>
      <c r="AE132" s="268"/>
      <c r="AF132" s="24"/>
      <c r="AG132" s="24"/>
      <c r="AH132" s="24"/>
      <c r="AI132" s="24"/>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row>
    <row r="133">
      <c r="A133" s="3"/>
      <c r="B133" s="3"/>
      <c r="C133" s="267"/>
      <c r="D133" s="267"/>
      <c r="E133" s="267"/>
      <c r="F133" s="267"/>
      <c r="G133" s="267"/>
      <c r="H133" s="267"/>
      <c r="I133" s="267"/>
      <c r="J133" s="267"/>
      <c r="K133" s="268"/>
      <c r="L133" s="267"/>
      <c r="M133" s="267"/>
      <c r="N133" s="267"/>
      <c r="O133" s="267"/>
      <c r="P133" s="267"/>
      <c r="Q133" s="267"/>
      <c r="R133" s="267"/>
      <c r="S133" s="267"/>
      <c r="T133" s="268"/>
      <c r="U133" s="268"/>
      <c r="V133" s="267"/>
      <c r="W133" s="267"/>
      <c r="X133" s="267"/>
      <c r="Y133" s="267"/>
      <c r="Z133" s="267"/>
      <c r="AA133" s="267"/>
      <c r="AB133" s="267"/>
      <c r="AC133" s="267"/>
      <c r="AD133" s="268"/>
      <c r="AE133" s="268"/>
      <c r="AF133" s="24"/>
      <c r="AG133" s="24"/>
      <c r="AH133" s="24"/>
      <c r="AI133" s="24"/>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row>
    <row r="134">
      <c r="A134" s="3"/>
      <c r="B134" s="3"/>
      <c r="C134" s="267"/>
      <c r="D134" s="267"/>
      <c r="E134" s="267"/>
      <c r="F134" s="267"/>
      <c r="G134" s="267"/>
      <c r="H134" s="267"/>
      <c r="I134" s="267"/>
      <c r="J134" s="267"/>
      <c r="K134" s="268"/>
      <c r="L134" s="267"/>
      <c r="M134" s="267"/>
      <c r="N134" s="267"/>
      <c r="O134" s="267"/>
      <c r="P134" s="267"/>
      <c r="Q134" s="267"/>
      <c r="R134" s="267"/>
      <c r="S134" s="267"/>
      <c r="T134" s="268"/>
      <c r="U134" s="268"/>
      <c r="V134" s="267"/>
      <c r="W134" s="267"/>
      <c r="X134" s="267"/>
      <c r="Y134" s="267"/>
      <c r="Z134" s="267"/>
      <c r="AA134" s="267"/>
      <c r="AB134" s="267"/>
      <c r="AC134" s="267"/>
      <c r="AD134" s="268"/>
      <c r="AE134" s="268"/>
      <c r="AF134" s="24"/>
      <c r="AG134" s="24"/>
      <c r="AH134" s="24"/>
      <c r="AI134" s="24"/>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row>
    <row r="135">
      <c r="A135" s="3"/>
      <c r="B135" s="3"/>
      <c r="C135" s="267"/>
      <c r="D135" s="267"/>
      <c r="E135" s="267"/>
      <c r="F135" s="267"/>
      <c r="G135" s="267"/>
      <c r="H135" s="267"/>
      <c r="I135" s="267"/>
      <c r="J135" s="267"/>
      <c r="K135" s="268"/>
      <c r="L135" s="267"/>
      <c r="M135" s="267"/>
      <c r="N135" s="267"/>
      <c r="O135" s="267"/>
      <c r="P135" s="267"/>
      <c r="Q135" s="267"/>
      <c r="R135" s="267"/>
      <c r="S135" s="267"/>
      <c r="T135" s="268"/>
      <c r="U135" s="268"/>
      <c r="V135" s="267"/>
      <c r="W135" s="267"/>
      <c r="X135" s="267"/>
      <c r="Y135" s="267"/>
      <c r="Z135" s="267"/>
      <c r="AA135" s="267"/>
      <c r="AB135" s="267"/>
      <c r="AC135" s="267"/>
      <c r="AD135" s="268"/>
      <c r="AE135" s="268"/>
      <c r="AF135" s="24"/>
      <c r="AG135" s="24"/>
      <c r="AH135" s="24"/>
      <c r="AI135" s="24"/>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row>
    <row r="136">
      <c r="A136" s="3"/>
      <c r="B136" s="3"/>
      <c r="C136" s="267"/>
      <c r="D136" s="267"/>
      <c r="E136" s="267"/>
      <c r="F136" s="267"/>
      <c r="G136" s="267"/>
      <c r="H136" s="267"/>
      <c r="I136" s="267"/>
      <c r="J136" s="267"/>
      <c r="K136" s="268"/>
      <c r="L136" s="267"/>
      <c r="M136" s="267"/>
      <c r="N136" s="267"/>
      <c r="O136" s="267"/>
      <c r="P136" s="267"/>
      <c r="Q136" s="267"/>
      <c r="R136" s="267"/>
      <c r="S136" s="267"/>
      <c r="T136" s="268"/>
      <c r="U136" s="268"/>
      <c r="V136" s="267"/>
      <c r="W136" s="267"/>
      <c r="X136" s="267"/>
      <c r="Y136" s="267"/>
      <c r="Z136" s="267"/>
      <c r="AA136" s="267"/>
      <c r="AB136" s="267"/>
      <c r="AC136" s="267"/>
      <c r="AD136" s="268"/>
      <c r="AE136" s="268"/>
      <c r="AF136" s="24"/>
      <c r="AG136" s="24"/>
      <c r="AH136" s="24"/>
      <c r="AI136" s="24"/>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row>
  </sheetData>
  <mergeCells count="582">
    <mergeCell ref="BA19:BB19"/>
    <mergeCell ref="BC19:BD19"/>
    <mergeCell ref="BE19:BF19"/>
    <mergeCell ref="AM19:AN19"/>
    <mergeCell ref="AO19:AP19"/>
    <mergeCell ref="AQ19:AR19"/>
    <mergeCell ref="AS19:AT19"/>
    <mergeCell ref="AU19:AV19"/>
    <mergeCell ref="AW19:AX19"/>
    <mergeCell ref="AY19:AZ19"/>
    <mergeCell ref="AO14:AP14"/>
    <mergeCell ref="AQ14:AR14"/>
    <mergeCell ref="AS14:AT14"/>
    <mergeCell ref="AU14:AV14"/>
    <mergeCell ref="AW14:AX14"/>
    <mergeCell ref="AY14:AZ14"/>
    <mergeCell ref="BA14:BB14"/>
    <mergeCell ref="BA15:BB15"/>
    <mergeCell ref="AM13:AN13"/>
    <mergeCell ref="AM14:AN14"/>
    <mergeCell ref="AM15:AN15"/>
    <mergeCell ref="AO15:AP15"/>
    <mergeCell ref="AQ15:AR15"/>
    <mergeCell ref="AS15:AT15"/>
    <mergeCell ref="AU15:AV15"/>
    <mergeCell ref="BA16:BB16"/>
    <mergeCell ref="BC16:BD16"/>
    <mergeCell ref="BE16:BF16"/>
    <mergeCell ref="AM16:AN16"/>
    <mergeCell ref="AO16:AP16"/>
    <mergeCell ref="AQ16:AR16"/>
    <mergeCell ref="AS16:AT16"/>
    <mergeCell ref="AU16:AV16"/>
    <mergeCell ref="AW16:AX16"/>
    <mergeCell ref="AY16:AZ16"/>
    <mergeCell ref="BA17:BB17"/>
    <mergeCell ref="BC17:BD17"/>
    <mergeCell ref="BE17:BF17"/>
    <mergeCell ref="AM17:AN17"/>
    <mergeCell ref="AO17:AP17"/>
    <mergeCell ref="AQ17:AR17"/>
    <mergeCell ref="AS17:AT17"/>
    <mergeCell ref="AU17:AV17"/>
    <mergeCell ref="AW17:AX17"/>
    <mergeCell ref="AY17:AZ17"/>
    <mergeCell ref="BA20:BB20"/>
    <mergeCell ref="BC20:BD20"/>
    <mergeCell ref="BE20:BF20"/>
    <mergeCell ref="AM20:AN20"/>
    <mergeCell ref="AO20:AP20"/>
    <mergeCell ref="AQ20:AR20"/>
    <mergeCell ref="AS20:AT20"/>
    <mergeCell ref="AU20:AV20"/>
    <mergeCell ref="AW20:AX20"/>
    <mergeCell ref="AY20:AZ20"/>
    <mergeCell ref="S11:U12"/>
    <mergeCell ref="S13:U13"/>
    <mergeCell ref="M6:T6"/>
    <mergeCell ref="V6:W6"/>
    <mergeCell ref="O11:Q12"/>
    <mergeCell ref="I12:M12"/>
    <mergeCell ref="W12:X12"/>
    <mergeCell ref="O13:Q13"/>
    <mergeCell ref="W13:X13"/>
    <mergeCell ref="V3:W4"/>
    <mergeCell ref="X3:Y4"/>
    <mergeCell ref="B4:C4"/>
    <mergeCell ref="D4:H4"/>
    <mergeCell ref="J4:L4"/>
    <mergeCell ref="M4:T4"/>
    <mergeCell ref="D6:H6"/>
    <mergeCell ref="J6:L6"/>
    <mergeCell ref="X6:Y6"/>
    <mergeCell ref="AA6:AA7"/>
    <mergeCell ref="Y12:AA12"/>
    <mergeCell ref="C16:D16"/>
    <mergeCell ref="C17:D17"/>
    <mergeCell ref="G18:M18"/>
    <mergeCell ref="I19:L19"/>
    <mergeCell ref="I21:L21"/>
    <mergeCell ref="T26:AC26"/>
    <mergeCell ref="T27:V27"/>
    <mergeCell ref="X27:Z27"/>
    <mergeCell ref="AB27:AC27"/>
    <mergeCell ref="C21:D21"/>
    <mergeCell ref="C26:D26"/>
    <mergeCell ref="C32:D32"/>
    <mergeCell ref="C33:D34"/>
    <mergeCell ref="C35:D35"/>
    <mergeCell ref="C36:D36"/>
    <mergeCell ref="C37:D37"/>
    <mergeCell ref="C38:D39"/>
    <mergeCell ref="C40:D40"/>
    <mergeCell ref="C41:D41"/>
    <mergeCell ref="B42:E42"/>
    <mergeCell ref="B44:E45"/>
    <mergeCell ref="B46:E47"/>
    <mergeCell ref="B48:E49"/>
    <mergeCell ref="B51:E52"/>
    <mergeCell ref="B53:E54"/>
    <mergeCell ref="B55:E56"/>
    <mergeCell ref="B2:C2"/>
    <mergeCell ref="B6:C6"/>
    <mergeCell ref="B11:B41"/>
    <mergeCell ref="E11:E41"/>
    <mergeCell ref="C12:D12"/>
    <mergeCell ref="C13:D14"/>
    <mergeCell ref="C15:D15"/>
    <mergeCell ref="C23:D24"/>
    <mergeCell ref="C25:D25"/>
    <mergeCell ref="I25:L25"/>
    <mergeCell ref="I26:L26"/>
    <mergeCell ref="C27:D27"/>
    <mergeCell ref="C28:D29"/>
    <mergeCell ref="I27:L27"/>
    <mergeCell ref="I28:L28"/>
    <mergeCell ref="I29:L29"/>
    <mergeCell ref="I30:L30"/>
    <mergeCell ref="C30:D30"/>
    <mergeCell ref="C31:D31"/>
    <mergeCell ref="I31:L31"/>
    <mergeCell ref="I32:L32"/>
    <mergeCell ref="I33:L33"/>
    <mergeCell ref="I34:L34"/>
    <mergeCell ref="I35:L35"/>
    <mergeCell ref="I36:L36"/>
    <mergeCell ref="I37:L37"/>
    <mergeCell ref="I38:L38"/>
    <mergeCell ref="J70:J83"/>
    <mergeCell ref="I39:L39"/>
    <mergeCell ref="H40:M40"/>
    <mergeCell ref="C18:D19"/>
    <mergeCell ref="C20:D20"/>
    <mergeCell ref="N21:N42"/>
    <mergeCell ref="C22:D22"/>
    <mergeCell ref="I22:L22"/>
    <mergeCell ref="I23:L23"/>
    <mergeCell ref="I24:L24"/>
    <mergeCell ref="G41:M43"/>
    <mergeCell ref="F44:M44"/>
    <mergeCell ref="F45:M45"/>
    <mergeCell ref="F46:M46"/>
    <mergeCell ref="F47:M47"/>
    <mergeCell ref="F48:M48"/>
    <mergeCell ref="F49:M49"/>
    <mergeCell ref="F51:M51"/>
    <mergeCell ref="F52:M52"/>
    <mergeCell ref="F53:M53"/>
    <mergeCell ref="F54:M54"/>
    <mergeCell ref="F55:M55"/>
    <mergeCell ref="F56:M56"/>
    <mergeCell ref="O56:O57"/>
    <mergeCell ref="B79:I79"/>
    <mergeCell ref="K79:R79"/>
    <mergeCell ref="B80:I80"/>
    <mergeCell ref="K80:R80"/>
    <mergeCell ref="B81:I81"/>
    <mergeCell ref="K81:R81"/>
    <mergeCell ref="B82:I82"/>
    <mergeCell ref="K82:R82"/>
    <mergeCell ref="B83:I83"/>
    <mergeCell ref="K83:R83"/>
    <mergeCell ref="O58:O59"/>
    <mergeCell ref="O60:O61"/>
    <mergeCell ref="P60:P68"/>
    <mergeCell ref="B70:I70"/>
    <mergeCell ref="T70:T83"/>
    <mergeCell ref="B71:I71"/>
    <mergeCell ref="B72:I72"/>
    <mergeCell ref="K71:R71"/>
    <mergeCell ref="K72:R72"/>
    <mergeCell ref="B73:I73"/>
    <mergeCell ref="K73:R73"/>
    <mergeCell ref="B74:I74"/>
    <mergeCell ref="K74:R74"/>
    <mergeCell ref="B75:I75"/>
    <mergeCell ref="K75:R75"/>
    <mergeCell ref="B76:I76"/>
    <mergeCell ref="K76:R76"/>
    <mergeCell ref="B77:I77"/>
    <mergeCell ref="K77:R77"/>
    <mergeCell ref="B78:I78"/>
    <mergeCell ref="K78:R78"/>
    <mergeCell ref="X2:Y2"/>
    <mergeCell ref="AM2:AS2"/>
    <mergeCell ref="AM3:AS3"/>
    <mergeCell ref="AM4:AS4"/>
    <mergeCell ref="AM5:AS5"/>
    <mergeCell ref="AM6:AS6"/>
    <mergeCell ref="AM7:AS7"/>
    <mergeCell ref="AB6:AC7"/>
    <mergeCell ref="AD6:AD7"/>
    <mergeCell ref="V7:W8"/>
    <mergeCell ref="X7:Y8"/>
    <mergeCell ref="S10:U10"/>
    <mergeCell ref="W10:X10"/>
    <mergeCell ref="Y10:AA10"/>
    <mergeCell ref="AC10:AJ10"/>
    <mergeCell ref="AM10:AV10"/>
    <mergeCell ref="AW10:BF10"/>
    <mergeCell ref="J8:L8"/>
    <mergeCell ref="M8:T8"/>
    <mergeCell ref="AA8:AD8"/>
    <mergeCell ref="A9:AL9"/>
    <mergeCell ref="A1:AL1"/>
    <mergeCell ref="D2:H2"/>
    <mergeCell ref="J2:L2"/>
    <mergeCell ref="M2:T2"/>
    <mergeCell ref="V2:W2"/>
    <mergeCell ref="AF2:AK8"/>
    <mergeCell ref="AA5:AD5"/>
    <mergeCell ref="B8:C8"/>
    <mergeCell ref="D8:H8"/>
    <mergeCell ref="B10:E10"/>
    <mergeCell ref="G10:M10"/>
    <mergeCell ref="N10:N11"/>
    <mergeCell ref="C11:D11"/>
    <mergeCell ref="I11:M11"/>
    <mergeCell ref="BC11:BD12"/>
    <mergeCell ref="BE11:BF12"/>
    <mergeCell ref="AO11:AP12"/>
    <mergeCell ref="AQ11:AR12"/>
    <mergeCell ref="AS11:AT12"/>
    <mergeCell ref="AU11:AV12"/>
    <mergeCell ref="AW11:AX12"/>
    <mergeCell ref="AY11:AZ12"/>
    <mergeCell ref="BA11:BB12"/>
    <mergeCell ref="W11:X11"/>
    <mergeCell ref="Y11:AA11"/>
    <mergeCell ref="AC11:AG12"/>
    <mergeCell ref="AH11:AH12"/>
    <mergeCell ref="AI11:AI12"/>
    <mergeCell ref="AJ11:AJ12"/>
    <mergeCell ref="AM11:AN12"/>
    <mergeCell ref="AS13:AT13"/>
    <mergeCell ref="AU13:AV13"/>
    <mergeCell ref="AW13:AX13"/>
    <mergeCell ref="AY13:AZ13"/>
    <mergeCell ref="BA13:BB13"/>
    <mergeCell ref="BC13:BD13"/>
    <mergeCell ref="BE13:BF13"/>
    <mergeCell ref="AC13:AG14"/>
    <mergeCell ref="AH13:AH14"/>
    <mergeCell ref="AI13:AI14"/>
    <mergeCell ref="AJ13:AJ14"/>
    <mergeCell ref="AO13:AP13"/>
    <mergeCell ref="AQ13:AR13"/>
    <mergeCell ref="W14:AA14"/>
    <mergeCell ref="BC14:BD14"/>
    <mergeCell ref="BE14:BF14"/>
    <mergeCell ref="AW15:AX15"/>
    <mergeCell ref="AY15:AZ15"/>
    <mergeCell ref="BC15:BD15"/>
    <mergeCell ref="BE15:BF15"/>
    <mergeCell ref="BA18:BB18"/>
    <mergeCell ref="BC18:BD18"/>
    <mergeCell ref="BE18:BF18"/>
    <mergeCell ref="AM18:AN18"/>
    <mergeCell ref="AO18:AP18"/>
    <mergeCell ref="AQ18:AR18"/>
    <mergeCell ref="AS18:AT18"/>
    <mergeCell ref="AU18:AV18"/>
    <mergeCell ref="AW18:AX18"/>
    <mergeCell ref="AY18:AZ18"/>
    <mergeCell ref="U16:V17"/>
    <mergeCell ref="W16:X17"/>
    <mergeCell ref="Z16:AB16"/>
    <mergeCell ref="AC16:AE16"/>
    <mergeCell ref="AF16:AH16"/>
    <mergeCell ref="Z17:AB18"/>
    <mergeCell ref="AF17:AH18"/>
    <mergeCell ref="I20:L20"/>
    <mergeCell ref="O20:R20"/>
    <mergeCell ref="U20:X20"/>
    <mergeCell ref="I13:M13"/>
    <mergeCell ref="I14:M14"/>
    <mergeCell ref="O14:Q14"/>
    <mergeCell ref="S14:U14"/>
    <mergeCell ref="I15:M15"/>
    <mergeCell ref="I16:M16"/>
    <mergeCell ref="O16:P17"/>
    <mergeCell ref="AQ21:AR21"/>
    <mergeCell ref="AS21:AT21"/>
    <mergeCell ref="AU21:AV21"/>
    <mergeCell ref="AW21:AX21"/>
    <mergeCell ref="AY21:AZ21"/>
    <mergeCell ref="BA21:BB21"/>
    <mergeCell ref="BC21:BD21"/>
    <mergeCell ref="BE21:BF21"/>
    <mergeCell ref="AC17:AE18"/>
    <mergeCell ref="AC19:AE20"/>
    <mergeCell ref="AF19:AH20"/>
    <mergeCell ref="AC21:AE21"/>
    <mergeCell ref="AF21:AH21"/>
    <mergeCell ref="AM21:AN21"/>
    <mergeCell ref="AO21:AP21"/>
    <mergeCell ref="BA22:BB22"/>
    <mergeCell ref="BC22:BD22"/>
    <mergeCell ref="BE22:BF22"/>
    <mergeCell ref="AM22:AN22"/>
    <mergeCell ref="AO22:AP22"/>
    <mergeCell ref="AQ22:AR22"/>
    <mergeCell ref="AS22:AT22"/>
    <mergeCell ref="AU22:AV22"/>
    <mergeCell ref="AW22:AX22"/>
    <mergeCell ref="AY22:AZ22"/>
    <mergeCell ref="O22:R23"/>
    <mergeCell ref="U22:X23"/>
    <mergeCell ref="Z23:AD23"/>
    <mergeCell ref="AE23:AF24"/>
    <mergeCell ref="AG23:AH24"/>
    <mergeCell ref="O24:R24"/>
    <mergeCell ref="U24:X24"/>
    <mergeCell ref="Z24:AD24"/>
    <mergeCell ref="Q16:R17"/>
    <mergeCell ref="S16:S24"/>
    <mergeCell ref="T16:T24"/>
    <mergeCell ref="O18:R19"/>
    <mergeCell ref="U18:X19"/>
    <mergeCell ref="Z19:AB20"/>
    <mergeCell ref="Z21:AB21"/>
    <mergeCell ref="T28:T29"/>
    <mergeCell ref="O38:R38"/>
    <mergeCell ref="S38:V38"/>
    <mergeCell ref="W38:Z38"/>
    <mergeCell ref="AA38:AD38"/>
    <mergeCell ref="AE38:AH38"/>
    <mergeCell ref="U28:U29"/>
    <mergeCell ref="V28:V29"/>
    <mergeCell ref="X28:X29"/>
    <mergeCell ref="Y28:Y29"/>
    <mergeCell ref="Z28:Z29"/>
    <mergeCell ref="AB28:AB29"/>
    <mergeCell ref="AC28:AC29"/>
    <mergeCell ref="AM25:AN26"/>
    <mergeCell ref="AO25:AP26"/>
    <mergeCell ref="AQ25:AR26"/>
    <mergeCell ref="AS25:AT26"/>
    <mergeCell ref="AU25:AV26"/>
    <mergeCell ref="AW25:AX26"/>
    <mergeCell ref="AY25:AZ26"/>
    <mergeCell ref="AM27:AV27"/>
    <mergeCell ref="AM28:BB28"/>
    <mergeCell ref="AO29:AP29"/>
    <mergeCell ref="AQ29:AT29"/>
    <mergeCell ref="AU29:AV29"/>
    <mergeCell ref="AW29:AX29"/>
    <mergeCell ref="AY29:BB29"/>
    <mergeCell ref="BA23:BB23"/>
    <mergeCell ref="BC23:BD23"/>
    <mergeCell ref="BE23:BF23"/>
    <mergeCell ref="AM23:AN23"/>
    <mergeCell ref="AO23:AP23"/>
    <mergeCell ref="AQ23:AR23"/>
    <mergeCell ref="AS23:AT23"/>
    <mergeCell ref="AU23:AV23"/>
    <mergeCell ref="AW23:AX23"/>
    <mergeCell ref="AY23:AZ23"/>
    <mergeCell ref="BA24:BB24"/>
    <mergeCell ref="BC24:BD24"/>
    <mergeCell ref="BE24:BF24"/>
    <mergeCell ref="AM24:AN24"/>
    <mergeCell ref="AO24:AP24"/>
    <mergeCell ref="AQ24:AR24"/>
    <mergeCell ref="AS24:AT24"/>
    <mergeCell ref="AU24:AV24"/>
    <mergeCell ref="AW24:AX24"/>
    <mergeCell ref="AY24:AZ24"/>
    <mergeCell ref="BA25:BB26"/>
    <mergeCell ref="BC25:BD26"/>
    <mergeCell ref="BE25:BF26"/>
    <mergeCell ref="AM29:AN29"/>
    <mergeCell ref="AM30:AM37"/>
    <mergeCell ref="AW31:AX31"/>
    <mergeCell ref="AY31:BB31"/>
    <mergeCell ref="AU35:AU38"/>
    <mergeCell ref="AE52:AG52"/>
    <mergeCell ref="AE53:AG53"/>
    <mergeCell ref="Z55:AH55"/>
    <mergeCell ref="AB56:AH56"/>
    <mergeCell ref="AA57:AE57"/>
    <mergeCell ref="AF57:AH57"/>
    <mergeCell ref="W52:Z52"/>
    <mergeCell ref="W53:Z53"/>
    <mergeCell ref="P55:X55"/>
    <mergeCell ref="P56:Q56"/>
    <mergeCell ref="R56:X56"/>
    <mergeCell ref="Z56:AA56"/>
    <mergeCell ref="V57:X57"/>
    <mergeCell ref="Q66:AG66"/>
    <mergeCell ref="Q67:AG67"/>
    <mergeCell ref="K70:S70"/>
    <mergeCell ref="U70:AC70"/>
    <mergeCell ref="AE70:AK70"/>
    <mergeCell ref="U71:AB71"/>
    <mergeCell ref="U72:AB72"/>
    <mergeCell ref="AE78:AK78"/>
    <mergeCell ref="AE79:AK79"/>
    <mergeCell ref="AE80:AK80"/>
    <mergeCell ref="AE81:AK81"/>
    <mergeCell ref="AE82:AK82"/>
    <mergeCell ref="AE83:AK83"/>
    <mergeCell ref="AE71:AK71"/>
    <mergeCell ref="AE72:AK72"/>
    <mergeCell ref="AE73:AK73"/>
    <mergeCell ref="AE74:AK74"/>
    <mergeCell ref="AE75:AK75"/>
    <mergeCell ref="AE76:AK76"/>
    <mergeCell ref="AE77:AK77"/>
    <mergeCell ref="AA59:AE59"/>
    <mergeCell ref="AF59:AH59"/>
    <mergeCell ref="AH60:AH68"/>
    <mergeCell ref="Q62:AG62"/>
    <mergeCell ref="Q63:AG63"/>
    <mergeCell ref="Q64:AG64"/>
    <mergeCell ref="Q65:AG65"/>
    <mergeCell ref="Q68:AG68"/>
    <mergeCell ref="U73:AB73"/>
    <mergeCell ref="U74:AB74"/>
    <mergeCell ref="U75:AB75"/>
    <mergeCell ref="U76:AB76"/>
    <mergeCell ref="U77:AB77"/>
    <mergeCell ref="U78:AB78"/>
    <mergeCell ref="P44:V44"/>
    <mergeCell ref="P45:V45"/>
    <mergeCell ref="W45:X45"/>
    <mergeCell ref="Y45:Z45"/>
    <mergeCell ref="AA45:AI45"/>
    <mergeCell ref="P46:V46"/>
    <mergeCell ref="AA46:AI46"/>
    <mergeCell ref="W48:X48"/>
    <mergeCell ref="Y48:Z48"/>
    <mergeCell ref="W46:X46"/>
    <mergeCell ref="Y46:Z46"/>
    <mergeCell ref="P47:V47"/>
    <mergeCell ref="W47:X47"/>
    <mergeCell ref="Y47:Z47"/>
    <mergeCell ref="AA47:AI47"/>
    <mergeCell ref="P48:V48"/>
    <mergeCell ref="AE51:AG51"/>
    <mergeCell ref="AH51:AI51"/>
    <mergeCell ref="AD70:AD83"/>
    <mergeCell ref="AA48:AI48"/>
    <mergeCell ref="O49:AJ49"/>
    <mergeCell ref="O50:AJ50"/>
    <mergeCell ref="P51:R51"/>
    <mergeCell ref="S51:U51"/>
    <mergeCell ref="W51:Z51"/>
    <mergeCell ref="AA51:AC51"/>
    <mergeCell ref="P52:R52"/>
    <mergeCell ref="S52:U52"/>
    <mergeCell ref="AA52:AC52"/>
    <mergeCell ref="AH52:AI52"/>
    <mergeCell ref="P53:R53"/>
    <mergeCell ref="S53:U53"/>
    <mergeCell ref="AA53:AC53"/>
    <mergeCell ref="AH53:AI53"/>
    <mergeCell ref="U79:AB79"/>
    <mergeCell ref="U80:AB80"/>
    <mergeCell ref="U81:AB81"/>
    <mergeCell ref="U82:AB82"/>
    <mergeCell ref="U83:AB83"/>
    <mergeCell ref="AO32:AP32"/>
    <mergeCell ref="AQ32:AT32"/>
    <mergeCell ref="AW32:AX32"/>
    <mergeCell ref="AY32:BB32"/>
    <mergeCell ref="AW33:AX33"/>
    <mergeCell ref="AY33:BB33"/>
    <mergeCell ref="AW34:AX34"/>
    <mergeCell ref="AY34:BB34"/>
    <mergeCell ref="AW35:AX35"/>
    <mergeCell ref="AY35:BB35"/>
    <mergeCell ref="AO30:AP30"/>
    <mergeCell ref="AQ30:AT30"/>
    <mergeCell ref="AU30:AU34"/>
    <mergeCell ref="AW30:AX30"/>
    <mergeCell ref="AY30:BB30"/>
    <mergeCell ref="AO31:AP31"/>
    <mergeCell ref="AQ31:AT31"/>
    <mergeCell ref="AO34:AP34"/>
    <mergeCell ref="AO35:AP35"/>
    <mergeCell ref="AO33:AP33"/>
    <mergeCell ref="AQ33:AT33"/>
    <mergeCell ref="O34:AJ34"/>
    <mergeCell ref="AQ34:AT34"/>
    <mergeCell ref="O35:R35"/>
    <mergeCell ref="S35:V35"/>
    <mergeCell ref="AE35:AH35"/>
    <mergeCell ref="AQ35:AT35"/>
    <mergeCell ref="AA36:AA37"/>
    <mergeCell ref="AB36:AC37"/>
    <mergeCell ref="W35:Z35"/>
    <mergeCell ref="AA35:AD35"/>
    <mergeCell ref="O36:O37"/>
    <mergeCell ref="P36:Q37"/>
    <mergeCell ref="R36:R37"/>
    <mergeCell ref="S36:S37"/>
    <mergeCell ref="T36:U37"/>
    <mergeCell ref="AQ39:AT39"/>
    <mergeCell ref="AQ41:AT41"/>
    <mergeCell ref="AO53:AU53"/>
    <mergeCell ref="AO54:AU54"/>
    <mergeCell ref="AQ42:AT42"/>
    <mergeCell ref="AW42:AX42"/>
    <mergeCell ref="AY42:BB42"/>
    <mergeCell ref="AQ43:AT43"/>
    <mergeCell ref="AW43:AX43"/>
    <mergeCell ref="AY43:BB43"/>
    <mergeCell ref="AW36:AX36"/>
    <mergeCell ref="AW37:AX37"/>
    <mergeCell ref="AQ38:AT38"/>
    <mergeCell ref="AW38:AX38"/>
    <mergeCell ref="AY38:BB38"/>
    <mergeCell ref="AU39:AU43"/>
    <mergeCell ref="AY40:BB40"/>
    <mergeCell ref="AV53:AW53"/>
    <mergeCell ref="AV54:AW54"/>
    <mergeCell ref="AX54:AY54"/>
    <mergeCell ref="AW41:AX41"/>
    <mergeCell ref="AY41:BB41"/>
    <mergeCell ref="AV51:AW51"/>
    <mergeCell ref="AX51:AY51"/>
    <mergeCell ref="AV52:AW52"/>
    <mergeCell ref="AX52:AY52"/>
    <mergeCell ref="AX53:AY53"/>
    <mergeCell ref="AO42:AP42"/>
    <mergeCell ref="AO43:AP43"/>
    <mergeCell ref="AO44:AP44"/>
    <mergeCell ref="AO45:AP45"/>
    <mergeCell ref="AO36:AP36"/>
    <mergeCell ref="AO37:AP37"/>
    <mergeCell ref="AM38:AM46"/>
    <mergeCell ref="AO38:AP38"/>
    <mergeCell ref="AO39:AP39"/>
    <mergeCell ref="AO40:AP40"/>
    <mergeCell ref="AO41:AP41"/>
    <mergeCell ref="AO46:AP46"/>
    <mergeCell ref="O39:AJ39"/>
    <mergeCell ref="O40:AJ40"/>
    <mergeCell ref="P41:V41"/>
    <mergeCell ref="W41:X41"/>
    <mergeCell ref="Y41:Z41"/>
    <mergeCell ref="AA41:AI41"/>
    <mergeCell ref="P42:V42"/>
    <mergeCell ref="AA42:AI42"/>
    <mergeCell ref="W42:X42"/>
    <mergeCell ref="Y42:Z42"/>
    <mergeCell ref="P43:V43"/>
    <mergeCell ref="W43:X43"/>
    <mergeCell ref="Y43:Z43"/>
    <mergeCell ref="AA43:AI43"/>
    <mergeCell ref="AA44:AI44"/>
    <mergeCell ref="V36:V37"/>
    <mergeCell ref="W36:W37"/>
    <mergeCell ref="X36:Y37"/>
    <mergeCell ref="Z36:Z37"/>
    <mergeCell ref="AD36:AD37"/>
    <mergeCell ref="AE36:AE37"/>
    <mergeCell ref="AF36:AG37"/>
    <mergeCell ref="AH36:AH37"/>
    <mergeCell ref="AQ36:AT36"/>
    <mergeCell ref="AY36:BB36"/>
    <mergeCell ref="AQ37:AT37"/>
    <mergeCell ref="AY37:BB37"/>
    <mergeCell ref="AW39:AX39"/>
    <mergeCell ref="AY39:BB39"/>
    <mergeCell ref="AQ40:AT40"/>
    <mergeCell ref="AW40:AX40"/>
    <mergeCell ref="W44:X44"/>
    <mergeCell ref="Y44:Z44"/>
    <mergeCell ref="AQ44:AT44"/>
    <mergeCell ref="AQ45:AT45"/>
    <mergeCell ref="AQ46:AT46"/>
    <mergeCell ref="Q60:AG60"/>
    <mergeCell ref="Q61:AG61"/>
    <mergeCell ref="Q57:U57"/>
    <mergeCell ref="Q58:U58"/>
    <mergeCell ref="V58:X58"/>
    <mergeCell ref="AA58:AE58"/>
    <mergeCell ref="AF58:AH58"/>
    <mergeCell ref="Q59:U59"/>
    <mergeCell ref="V59:X59"/>
  </mergeCells>
  <conditionalFormatting sqref="P10 G11:G16 G19:G39">
    <cfRule type="cellIs" dxfId="1" priority="1" operator="equal">
      <formula>"e"</formula>
    </cfRule>
  </conditionalFormatting>
  <conditionalFormatting sqref="P10 G11:G16 G19:G39">
    <cfRule type="containsText" dxfId="2" priority="2" operator="containsText" text="h">
      <formula>NOT(ISERROR(SEARCH(("h"),(P10))))</formula>
    </cfRule>
  </conditionalFormatting>
  <conditionalFormatting sqref="P10 G19:G39">
    <cfRule type="containsText" dxfId="3" priority="3" operator="containsText" text="M">
      <formula>NOT(ISERROR(SEARCH(("M"),(P10))))</formula>
    </cfRule>
  </conditionalFormatting>
  <dataValidations>
    <dataValidation type="list" allowBlank="1" showErrorMessage="1" sqref="AO30">
      <formula1>"0,1,2,3,4,5,6"</formula1>
    </dataValidation>
    <dataValidation type="list" allowBlank="1" sqref="AW39:AW40 AW42:AW43">
      <formula1>"0,1,2,3,4,5,6,7,8,9,10,1d4,1d6,1d8,1d10,1d12,2d4,2d6,2d8,2d10,2d12,3d4,3d6,3d8,3d10,3d12"</formula1>
    </dataValidation>
    <dataValidation type="list" allowBlank="1" showErrorMessage="1" sqref="D4">
      <formula1>'Banco de Dados'!$A$166:$F$218</formula1>
    </dataValidation>
    <dataValidation type="list" allowBlank="1" showErrorMessage="1" sqref="AW30:AW34 AW36 AO39:AO46">
      <formula1>"1,2,3,4,5"</formula1>
    </dataValidation>
    <dataValidation type="list" allowBlank="1" showErrorMessage="1" sqref="AW35 AO31:AO38 AW37:AW38">
      <formula1>"0,1,2,3,4,5,6,7,8,9,10,11,12,13,14,15,16,17,18,19,20,21,22,23,24,25"</formula1>
    </dataValidation>
    <dataValidation type="list" allowBlank="1" showDropDown="1" showErrorMessage="1" sqref="M19:M39">
      <formula1>"For,Des,Con,Int,Sab,Car"</formula1>
    </dataValidation>
    <dataValidation type="list" allowBlank="1" showErrorMessage="1" sqref="P42:P48">
      <formula1>'Banco de Dados'!$A$46:$G$118</formula1>
    </dataValidation>
    <dataValidation type="list" allowBlank="1" showErrorMessage="1" sqref="M4">
      <formula1>'Banco de Dados'!$G$252:$O$367</formula1>
    </dataValidation>
    <dataValidation type="list" allowBlank="1" showErrorMessage="1" sqref="AW41">
      <formula1>"1,2,3,4,5,6,7,8,9,10"</formula1>
    </dataValidation>
    <dataValidation type="list" allowBlank="1" showErrorMessage="1" sqref="M2">
      <formula1>'Banco de Dados'!$A$237:$F$247</formula1>
    </dataValidation>
  </dataValidations>
  <hyperlinks>
    <hyperlink r:id="rId2" ref="AM3"/>
    <hyperlink r:id="rId3" ref="AM4"/>
    <hyperlink r:id="rId4" ref="AM5"/>
    <hyperlink r:id="rId5" ref="AM6"/>
    <hyperlink r:id="rId6" ref="AM7"/>
  </hyperlinks>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33" width="3.25"/>
    <col customWidth="1" min="34" max="35" width="4.25"/>
    <col customWidth="1" min="36" max="48" width="3.25"/>
  </cols>
  <sheetData>
    <row r="1">
      <c r="A1" s="275"/>
      <c r="B1" s="275"/>
      <c r="C1" s="275"/>
      <c r="D1" s="275"/>
      <c r="E1" s="275"/>
      <c r="F1" s="275"/>
      <c r="G1" s="275"/>
      <c r="H1" s="275"/>
      <c r="I1" s="275"/>
      <c r="J1" s="275"/>
      <c r="K1" s="275"/>
      <c r="L1" s="275"/>
      <c r="M1" s="275"/>
      <c r="N1" s="275"/>
      <c r="O1" s="275"/>
      <c r="P1" s="275"/>
      <c r="Q1" s="275"/>
      <c r="R1" s="275"/>
      <c r="S1" s="275"/>
      <c r="T1" s="275"/>
      <c r="U1" s="275"/>
      <c r="V1" s="276"/>
      <c r="W1" s="276"/>
      <c r="X1" s="276"/>
      <c r="Y1" s="276"/>
      <c r="Z1" s="276"/>
      <c r="AA1" s="276"/>
      <c r="AB1" s="276"/>
      <c r="AC1" s="276"/>
      <c r="AD1" s="276"/>
      <c r="AE1" s="276"/>
      <c r="AF1" s="276"/>
      <c r="AG1" s="276"/>
      <c r="AH1" s="276"/>
      <c r="AI1" s="276"/>
      <c r="AJ1" s="276"/>
      <c r="AK1" s="276"/>
      <c r="AL1" s="276"/>
      <c r="AM1" s="276"/>
      <c r="AN1" s="276"/>
      <c r="AO1" s="276"/>
      <c r="AP1" s="276"/>
      <c r="AQ1" s="276"/>
      <c r="AR1" s="276"/>
      <c r="AS1" s="276"/>
      <c r="AT1" s="276"/>
      <c r="AU1" s="276"/>
      <c r="AV1" s="276"/>
    </row>
    <row r="2">
      <c r="A2" s="275"/>
      <c r="B2" s="277" t="s">
        <v>188</v>
      </c>
      <c r="C2" s="11"/>
      <c r="D2" s="12"/>
      <c r="E2" s="278" t="str">
        <f>Ficha!D2</f>
        <v>Sasuke</v>
      </c>
      <c r="F2" s="11"/>
      <c r="G2" s="11"/>
      <c r="H2" s="11"/>
      <c r="I2" s="11"/>
      <c r="J2" s="11"/>
      <c r="K2" s="11"/>
      <c r="L2" s="11"/>
      <c r="M2" s="11"/>
      <c r="N2" s="11"/>
      <c r="O2" s="11"/>
      <c r="P2" s="11"/>
      <c r="Q2" s="11"/>
      <c r="R2" s="11"/>
      <c r="S2" s="11"/>
      <c r="T2" s="12"/>
      <c r="U2" s="275"/>
      <c r="V2" s="279" t="s">
        <v>189</v>
      </c>
      <c r="W2" s="11"/>
      <c r="X2" s="11"/>
      <c r="Y2" s="11"/>
      <c r="Z2" s="11"/>
      <c r="AA2" s="11"/>
      <c r="AB2" s="11"/>
      <c r="AC2" s="11"/>
      <c r="AD2" s="11"/>
      <c r="AE2" s="11"/>
      <c r="AF2" s="11"/>
      <c r="AG2" s="11"/>
      <c r="AH2" s="11"/>
      <c r="AI2" s="11"/>
      <c r="AJ2" s="11"/>
      <c r="AK2" s="12"/>
      <c r="AL2" s="276"/>
      <c r="AM2" s="280" t="s">
        <v>190</v>
      </c>
      <c r="AN2" s="115"/>
      <c r="AO2" s="115"/>
      <c r="AP2" s="115"/>
      <c r="AQ2" s="115"/>
      <c r="AR2" s="115"/>
      <c r="AS2" s="115"/>
      <c r="AT2" s="116"/>
      <c r="AU2" s="276"/>
      <c r="AV2" s="276"/>
    </row>
    <row r="3">
      <c r="A3" s="275"/>
      <c r="B3" s="21"/>
      <c r="C3" s="31"/>
      <c r="D3" s="22"/>
      <c r="E3" s="21"/>
      <c r="F3" s="31"/>
      <c r="G3" s="31"/>
      <c r="H3" s="31"/>
      <c r="I3" s="31"/>
      <c r="J3" s="31"/>
      <c r="K3" s="31"/>
      <c r="L3" s="31"/>
      <c r="M3" s="31"/>
      <c r="N3" s="31"/>
      <c r="O3" s="31"/>
      <c r="P3" s="31"/>
      <c r="Q3" s="31"/>
      <c r="R3" s="31"/>
      <c r="S3" s="31"/>
      <c r="T3" s="22"/>
      <c r="U3" s="275"/>
      <c r="V3" s="21"/>
      <c r="W3" s="31"/>
      <c r="X3" s="31"/>
      <c r="Y3" s="31"/>
      <c r="Z3" s="31"/>
      <c r="AA3" s="31"/>
      <c r="AB3" s="31"/>
      <c r="AC3" s="31"/>
      <c r="AD3" s="31"/>
      <c r="AE3" s="31"/>
      <c r="AF3" s="31"/>
      <c r="AG3" s="31"/>
      <c r="AH3" s="31"/>
      <c r="AI3" s="31"/>
      <c r="AJ3" s="31"/>
      <c r="AK3" s="22"/>
      <c r="AL3" s="276"/>
      <c r="AM3" s="122"/>
      <c r="AN3" s="123"/>
      <c r="AO3" s="123"/>
      <c r="AP3" s="123"/>
      <c r="AQ3" s="123"/>
      <c r="AR3" s="123"/>
      <c r="AS3" s="123"/>
      <c r="AT3" s="124"/>
      <c r="AU3" s="276"/>
      <c r="AV3" s="276"/>
    </row>
    <row r="4">
      <c r="A4" s="275"/>
      <c r="B4" s="281" t="s">
        <v>191</v>
      </c>
      <c r="C4" s="7"/>
      <c r="D4" s="7"/>
      <c r="E4" s="7"/>
      <c r="F4" s="7"/>
      <c r="G4" s="7"/>
      <c r="H4" s="7"/>
      <c r="I4" s="7"/>
      <c r="J4" s="5"/>
      <c r="K4" s="281" t="s">
        <v>192</v>
      </c>
      <c r="L4" s="7"/>
      <c r="M4" s="5"/>
      <c r="N4" s="282"/>
      <c r="O4" s="7"/>
      <c r="P4" s="7"/>
      <c r="Q4" s="7"/>
      <c r="R4" s="7"/>
      <c r="S4" s="7"/>
      <c r="T4" s="5"/>
      <c r="U4" s="275"/>
      <c r="V4" s="283" t="s">
        <v>193</v>
      </c>
      <c r="W4" s="7"/>
      <c r="X4" s="7"/>
      <c r="Y4" s="7"/>
      <c r="Z4" s="7"/>
      <c r="AA4" s="5"/>
      <c r="AB4" s="284" t="s">
        <v>194</v>
      </c>
      <c r="AC4" s="5"/>
      <c r="AD4" s="285" t="s">
        <v>195</v>
      </c>
      <c r="AE4" s="7"/>
      <c r="AF4" s="7"/>
      <c r="AG4" s="7"/>
      <c r="AH4" s="7"/>
      <c r="AI4" s="5"/>
      <c r="AJ4" s="286" t="s">
        <v>196</v>
      </c>
      <c r="AK4" s="5"/>
      <c r="AL4" s="276"/>
      <c r="AM4" s="287">
        <f>SUM(AT4,AT5,AT6,AT7,AT8)</f>
        <v>19</v>
      </c>
      <c r="AN4" s="115"/>
      <c r="AO4" s="116"/>
      <c r="AP4" s="288" t="s">
        <v>197</v>
      </c>
      <c r="AQ4" s="138"/>
      <c r="AR4" s="138"/>
      <c r="AS4" s="139"/>
      <c r="AT4" s="289">
        <v>10.0</v>
      </c>
      <c r="AU4" s="276"/>
      <c r="AV4" s="276"/>
    </row>
    <row r="5">
      <c r="A5" s="275"/>
      <c r="B5" s="290"/>
      <c r="C5" s="11"/>
      <c r="D5" s="11"/>
      <c r="E5" s="11"/>
      <c r="F5" s="11"/>
      <c r="G5" s="11"/>
      <c r="H5" s="11"/>
      <c r="I5" s="11"/>
      <c r="J5" s="12"/>
      <c r="K5" s="281" t="s">
        <v>198</v>
      </c>
      <c r="L5" s="7"/>
      <c r="M5" s="5"/>
      <c r="N5" s="291">
        <v>145.0</v>
      </c>
      <c r="O5" s="7"/>
      <c r="P5" s="7"/>
      <c r="Q5" s="7"/>
      <c r="R5" s="7"/>
      <c r="S5" s="7"/>
      <c r="T5" s="5"/>
      <c r="U5" s="275"/>
      <c r="V5" s="292"/>
      <c r="W5" s="7"/>
      <c r="X5" s="7"/>
      <c r="Y5" s="7"/>
      <c r="Z5" s="7"/>
      <c r="AA5" s="5"/>
      <c r="AB5" s="293"/>
      <c r="AC5" s="5"/>
      <c r="AD5" s="294"/>
      <c r="AE5" s="7"/>
      <c r="AF5" s="7"/>
      <c r="AG5" s="7"/>
      <c r="AH5" s="7"/>
      <c r="AI5" s="5"/>
      <c r="AJ5" s="293"/>
      <c r="AK5" s="5"/>
      <c r="AL5" s="276"/>
      <c r="AM5" s="295"/>
      <c r="AO5" s="296"/>
      <c r="AP5" s="288" t="s">
        <v>199</v>
      </c>
      <c r="AQ5" s="297"/>
      <c r="AR5" s="297"/>
      <c r="AS5" s="298"/>
      <c r="AT5" s="299">
        <f>AC36</f>
        <v>5</v>
      </c>
      <c r="AU5" s="276"/>
      <c r="AV5" s="276"/>
    </row>
    <row r="6">
      <c r="A6" s="275"/>
      <c r="B6" s="18"/>
      <c r="J6" s="19"/>
      <c r="K6" s="281" t="s">
        <v>196</v>
      </c>
      <c r="L6" s="7"/>
      <c r="M6" s="5"/>
      <c r="N6" s="300">
        <v>60.0</v>
      </c>
      <c r="O6" s="7"/>
      <c r="P6" s="7"/>
      <c r="Q6" s="7"/>
      <c r="R6" s="7"/>
      <c r="S6" s="7"/>
      <c r="T6" s="5"/>
      <c r="U6" s="275"/>
      <c r="V6" s="292"/>
      <c r="W6" s="7"/>
      <c r="X6" s="7"/>
      <c r="Y6" s="7"/>
      <c r="Z6" s="7"/>
      <c r="AA6" s="5"/>
      <c r="AB6" s="293"/>
      <c r="AC6" s="5"/>
      <c r="AD6" s="294"/>
      <c r="AE6" s="7"/>
      <c r="AF6" s="7"/>
      <c r="AG6" s="7"/>
      <c r="AH6" s="7"/>
      <c r="AI6" s="5"/>
      <c r="AJ6" s="293"/>
      <c r="AK6" s="5"/>
      <c r="AL6" s="276"/>
      <c r="AM6" s="301"/>
      <c r="AO6" s="302"/>
      <c r="AP6" s="288" t="s">
        <v>200</v>
      </c>
      <c r="AQ6" s="138"/>
      <c r="AR6" s="138"/>
      <c r="AS6" s="303" t="b">
        <v>1</v>
      </c>
      <c r="AT6" s="304">
        <f>IF(AS6=FALSE,Ficha!X3*0.5,IF(AS6=TRUE,Ficha!X3,""))</f>
        <v>3</v>
      </c>
      <c r="AU6" s="276"/>
      <c r="AV6" s="276"/>
    </row>
    <row r="7">
      <c r="A7" s="275"/>
      <c r="B7" s="18"/>
      <c r="J7" s="19"/>
      <c r="K7" s="281" t="s">
        <v>201</v>
      </c>
      <c r="L7" s="7"/>
      <c r="M7" s="5"/>
      <c r="N7" s="282"/>
      <c r="O7" s="7"/>
      <c r="P7" s="7"/>
      <c r="Q7" s="7"/>
      <c r="R7" s="7"/>
      <c r="S7" s="7"/>
      <c r="T7" s="5"/>
      <c r="U7" s="275"/>
      <c r="V7" s="292"/>
      <c r="W7" s="7"/>
      <c r="X7" s="7"/>
      <c r="Y7" s="7"/>
      <c r="Z7" s="7"/>
      <c r="AA7" s="5"/>
      <c r="AB7" s="293"/>
      <c r="AC7" s="5"/>
      <c r="AD7" s="294"/>
      <c r="AE7" s="7"/>
      <c r="AF7" s="7"/>
      <c r="AG7" s="7"/>
      <c r="AH7" s="7"/>
      <c r="AI7" s="5"/>
      <c r="AJ7" s="293"/>
      <c r="AK7" s="5"/>
      <c r="AL7" s="276"/>
      <c r="AM7" s="21"/>
      <c r="AN7" s="31"/>
      <c r="AO7" s="22"/>
      <c r="AP7" s="305" t="s">
        <v>55</v>
      </c>
      <c r="AQ7" s="31"/>
      <c r="AR7" s="31"/>
      <c r="AS7" s="31"/>
      <c r="AT7" s="306">
        <f>IF(AP7="For",Ficha!C13,IF(AP7="Des",Ficha!C18,IF(AP7="Con",Ficha!C23,IF(AP7="Int",Ficha!C28,IF(AP7="Sab",Ficha!C33,Ficha!X16,IF(AP7="Car",Ficha!C38,Ficha!X16))))))</f>
        <v>1</v>
      </c>
      <c r="AU7" s="276"/>
      <c r="AV7" s="276"/>
    </row>
    <row r="8" ht="15.0" customHeight="1">
      <c r="A8" s="275"/>
      <c r="B8" s="18"/>
      <c r="J8" s="19"/>
      <c r="K8" s="281" t="s">
        <v>202</v>
      </c>
      <c r="L8" s="7"/>
      <c r="M8" s="5"/>
      <c r="N8" s="282"/>
      <c r="O8" s="7"/>
      <c r="P8" s="7"/>
      <c r="Q8" s="7"/>
      <c r="R8" s="7"/>
      <c r="S8" s="7"/>
      <c r="T8" s="5"/>
      <c r="U8" s="275"/>
      <c r="V8" s="292"/>
      <c r="W8" s="7"/>
      <c r="X8" s="7"/>
      <c r="Y8" s="7"/>
      <c r="Z8" s="7"/>
      <c r="AA8" s="5"/>
      <c r="AB8" s="293"/>
      <c r="AC8" s="5"/>
      <c r="AD8" s="294"/>
      <c r="AE8" s="7"/>
      <c r="AF8" s="7"/>
      <c r="AG8" s="7"/>
      <c r="AH8" s="7"/>
      <c r="AI8" s="5"/>
      <c r="AJ8" s="293"/>
      <c r="AK8" s="5"/>
      <c r="AL8" s="276"/>
      <c r="AM8" s="307" t="s">
        <v>26</v>
      </c>
      <c r="AN8" s="7"/>
      <c r="AO8" s="5"/>
      <c r="AP8" s="283" t="s">
        <v>203</v>
      </c>
      <c r="AQ8" s="7"/>
      <c r="AR8" s="7"/>
      <c r="AS8" s="5"/>
      <c r="AT8" s="308"/>
      <c r="AU8" s="276"/>
      <c r="AV8" s="276"/>
    </row>
    <row r="9">
      <c r="A9" s="275"/>
      <c r="B9" s="18"/>
      <c r="J9" s="19"/>
      <c r="K9" s="281" t="s">
        <v>204</v>
      </c>
      <c r="L9" s="7"/>
      <c r="M9" s="5"/>
      <c r="N9" s="282"/>
      <c r="O9" s="7"/>
      <c r="P9" s="7"/>
      <c r="Q9" s="7"/>
      <c r="R9" s="7"/>
      <c r="S9" s="7"/>
      <c r="T9" s="5"/>
      <c r="U9" s="275"/>
      <c r="V9" s="292"/>
      <c r="W9" s="7"/>
      <c r="X9" s="7"/>
      <c r="Y9" s="7"/>
      <c r="Z9" s="7"/>
      <c r="AA9" s="5"/>
      <c r="AB9" s="293"/>
      <c r="AC9" s="5"/>
      <c r="AD9" s="294"/>
      <c r="AE9" s="7"/>
      <c r="AF9" s="7"/>
      <c r="AG9" s="7"/>
      <c r="AH9" s="7"/>
      <c r="AI9" s="5"/>
      <c r="AJ9" s="293"/>
      <c r="AK9" s="5"/>
      <c r="AL9" s="276"/>
      <c r="AM9" s="276"/>
      <c r="AN9" s="276"/>
      <c r="AO9" s="276"/>
      <c r="AP9" s="276"/>
      <c r="AQ9" s="276"/>
      <c r="AR9" s="276"/>
      <c r="AS9" s="276"/>
      <c r="AT9" s="276"/>
      <c r="AU9" s="276"/>
      <c r="AV9" s="276"/>
    </row>
    <row r="10">
      <c r="A10" s="275"/>
      <c r="B10" s="18"/>
      <c r="J10" s="19"/>
      <c r="K10" s="281" t="s">
        <v>205</v>
      </c>
      <c r="L10" s="7"/>
      <c r="M10" s="5"/>
      <c r="N10" s="282"/>
      <c r="O10" s="7"/>
      <c r="P10" s="7"/>
      <c r="Q10" s="7"/>
      <c r="R10" s="7"/>
      <c r="S10" s="7"/>
      <c r="T10" s="5"/>
      <c r="U10" s="275"/>
      <c r="V10" s="292"/>
      <c r="W10" s="7"/>
      <c r="X10" s="7"/>
      <c r="Y10" s="7"/>
      <c r="Z10" s="7"/>
      <c r="AA10" s="5"/>
      <c r="AB10" s="293"/>
      <c r="AC10" s="5"/>
      <c r="AD10" s="294"/>
      <c r="AE10" s="7"/>
      <c r="AF10" s="7"/>
      <c r="AG10" s="7"/>
      <c r="AH10" s="7"/>
      <c r="AI10" s="5"/>
      <c r="AJ10" s="293"/>
      <c r="AK10" s="5"/>
      <c r="AL10" s="276"/>
      <c r="AM10" s="309" t="s">
        <v>206</v>
      </c>
      <c r="AN10" s="11"/>
      <c r="AO10" s="11"/>
      <c r="AP10" s="11"/>
      <c r="AQ10" s="11"/>
      <c r="AR10" s="11"/>
      <c r="AS10" s="11"/>
      <c r="AT10" s="12"/>
      <c r="AU10" s="310"/>
      <c r="AV10" s="310"/>
    </row>
    <row r="11">
      <c r="A11" s="275"/>
      <c r="B11" s="18"/>
      <c r="J11" s="19"/>
      <c r="K11" s="281" t="s">
        <v>207</v>
      </c>
      <c r="L11" s="7"/>
      <c r="M11" s="5"/>
      <c r="N11" s="282"/>
      <c r="O11" s="7"/>
      <c r="P11" s="7"/>
      <c r="Q11" s="7"/>
      <c r="R11" s="7"/>
      <c r="S11" s="7"/>
      <c r="T11" s="5"/>
      <c r="U11" s="275"/>
      <c r="V11" s="292"/>
      <c r="W11" s="7"/>
      <c r="X11" s="7"/>
      <c r="Y11" s="7"/>
      <c r="Z11" s="7"/>
      <c r="AA11" s="5"/>
      <c r="AB11" s="293"/>
      <c r="AC11" s="5"/>
      <c r="AD11" s="294"/>
      <c r="AE11" s="7"/>
      <c r="AF11" s="7"/>
      <c r="AG11" s="7"/>
      <c r="AH11" s="7"/>
      <c r="AI11" s="5"/>
      <c r="AJ11" s="293"/>
      <c r="AK11" s="5"/>
      <c r="AL11" s="276"/>
      <c r="AM11" s="21"/>
      <c r="AN11" s="31"/>
      <c r="AO11" s="31"/>
      <c r="AP11" s="31"/>
      <c r="AQ11" s="31"/>
      <c r="AR11" s="31"/>
      <c r="AS11" s="31"/>
      <c r="AT11" s="22"/>
      <c r="AU11" s="310"/>
      <c r="AV11" s="310"/>
    </row>
    <row r="12">
      <c r="A12" s="275"/>
      <c r="B12" s="18"/>
      <c r="J12" s="19"/>
      <c r="K12" s="281" t="s">
        <v>208</v>
      </c>
      <c r="L12" s="7"/>
      <c r="M12" s="5"/>
      <c r="N12" s="282"/>
      <c r="O12" s="7"/>
      <c r="P12" s="7"/>
      <c r="Q12" s="7"/>
      <c r="R12" s="7"/>
      <c r="S12" s="7"/>
      <c r="T12" s="5"/>
      <c r="U12" s="275"/>
      <c r="V12" s="292"/>
      <c r="W12" s="7"/>
      <c r="X12" s="7"/>
      <c r="Y12" s="7"/>
      <c r="Z12" s="7"/>
      <c r="AA12" s="5"/>
      <c r="AB12" s="293"/>
      <c r="AC12" s="5"/>
      <c r="AD12" s="294"/>
      <c r="AE12" s="7"/>
      <c r="AF12" s="7"/>
      <c r="AG12" s="7"/>
      <c r="AH12" s="7"/>
      <c r="AI12" s="5"/>
      <c r="AJ12" s="293"/>
      <c r="AK12" s="5"/>
      <c r="AL12" s="276"/>
      <c r="AM12" s="311" t="s">
        <v>209</v>
      </c>
      <c r="AN12" s="7"/>
      <c r="AO12" s="7"/>
      <c r="AP12" s="5"/>
      <c r="AQ12" s="311" t="s">
        <v>210</v>
      </c>
      <c r="AR12" s="7"/>
      <c r="AS12" s="7"/>
      <c r="AT12" s="5"/>
      <c r="AU12" s="312"/>
      <c r="AV12" s="312"/>
    </row>
    <row r="13">
      <c r="A13" s="275"/>
      <c r="B13" s="18"/>
      <c r="J13" s="19"/>
      <c r="K13" s="281" t="s">
        <v>211</v>
      </c>
      <c r="L13" s="7"/>
      <c r="M13" s="5"/>
      <c r="N13" s="282"/>
      <c r="O13" s="7"/>
      <c r="P13" s="7"/>
      <c r="Q13" s="7"/>
      <c r="R13" s="7"/>
      <c r="S13" s="7"/>
      <c r="T13" s="5"/>
      <c r="U13" s="275"/>
      <c r="V13" s="292"/>
      <c r="W13" s="7"/>
      <c r="X13" s="7"/>
      <c r="Y13" s="7"/>
      <c r="Z13" s="7"/>
      <c r="AA13" s="5"/>
      <c r="AB13" s="293"/>
      <c r="AC13" s="5"/>
      <c r="AD13" s="294"/>
      <c r="AE13" s="7"/>
      <c r="AF13" s="7"/>
      <c r="AG13" s="7"/>
      <c r="AH13" s="7"/>
      <c r="AI13" s="5"/>
      <c r="AJ13" s="293"/>
      <c r="AK13" s="5"/>
      <c r="AL13" s="276"/>
      <c r="AM13" s="313">
        <f>SUM(AF57)</f>
        <v>0</v>
      </c>
      <c r="AN13" s="11"/>
      <c r="AO13" s="11"/>
      <c r="AP13" s="12"/>
      <c r="AQ13" s="313">
        <f>10+2*IF(Ficha!C13&gt;0,Ficha!C13,0)+5</f>
        <v>15</v>
      </c>
      <c r="AR13" s="11"/>
      <c r="AS13" s="11"/>
      <c r="AT13" s="12"/>
      <c r="AU13" s="310"/>
      <c r="AV13" s="310"/>
    </row>
    <row r="14">
      <c r="A14" s="275"/>
      <c r="B14" s="21"/>
      <c r="C14" s="31"/>
      <c r="D14" s="31"/>
      <c r="E14" s="31"/>
      <c r="F14" s="31"/>
      <c r="G14" s="31"/>
      <c r="H14" s="31"/>
      <c r="I14" s="31"/>
      <c r="J14" s="22"/>
      <c r="K14" s="281" t="s">
        <v>212</v>
      </c>
      <c r="L14" s="7"/>
      <c r="M14" s="5"/>
      <c r="N14" s="282"/>
      <c r="O14" s="7"/>
      <c r="P14" s="7"/>
      <c r="Q14" s="7"/>
      <c r="R14" s="7"/>
      <c r="S14" s="7"/>
      <c r="T14" s="5"/>
      <c r="U14" s="275"/>
      <c r="V14" s="292"/>
      <c r="W14" s="7"/>
      <c r="X14" s="7"/>
      <c r="Y14" s="7"/>
      <c r="Z14" s="7"/>
      <c r="AA14" s="5"/>
      <c r="AB14" s="293"/>
      <c r="AC14" s="5"/>
      <c r="AD14" s="294"/>
      <c r="AE14" s="7"/>
      <c r="AF14" s="7"/>
      <c r="AG14" s="7"/>
      <c r="AH14" s="7"/>
      <c r="AI14" s="5"/>
      <c r="AJ14" s="293"/>
      <c r="AK14" s="5"/>
      <c r="AL14" s="276"/>
      <c r="AM14" s="21"/>
      <c r="AN14" s="31"/>
      <c r="AO14" s="31"/>
      <c r="AP14" s="22"/>
      <c r="AQ14" s="21"/>
      <c r="AR14" s="31"/>
      <c r="AS14" s="31"/>
      <c r="AT14" s="22"/>
      <c r="AU14" s="310"/>
      <c r="AV14" s="310"/>
    </row>
    <row r="15">
      <c r="A15" s="275"/>
      <c r="B15" s="314" t="s">
        <v>213</v>
      </c>
      <c r="C15" s="7"/>
      <c r="D15" s="5"/>
      <c r="E15" s="315"/>
      <c r="F15" s="7"/>
      <c r="G15" s="7"/>
      <c r="H15" s="7"/>
      <c r="I15" s="7"/>
      <c r="J15" s="7"/>
      <c r="K15" s="7"/>
      <c r="L15" s="7"/>
      <c r="M15" s="7"/>
      <c r="N15" s="7"/>
      <c r="O15" s="7"/>
      <c r="P15" s="7"/>
      <c r="Q15" s="7"/>
      <c r="R15" s="7"/>
      <c r="S15" s="7"/>
      <c r="T15" s="5"/>
      <c r="U15" s="275"/>
      <c r="V15" s="292"/>
      <c r="W15" s="7"/>
      <c r="X15" s="7"/>
      <c r="Y15" s="7"/>
      <c r="Z15" s="7"/>
      <c r="AA15" s="5"/>
      <c r="AB15" s="293"/>
      <c r="AC15" s="5"/>
      <c r="AD15" s="294"/>
      <c r="AE15" s="7"/>
      <c r="AF15" s="7"/>
      <c r="AG15" s="7"/>
      <c r="AH15" s="7"/>
      <c r="AI15" s="5"/>
      <c r="AJ15" s="293"/>
      <c r="AK15" s="5"/>
      <c r="AL15" s="276"/>
      <c r="AM15" s="276"/>
      <c r="AN15" s="276"/>
      <c r="AO15" s="276"/>
      <c r="AP15" s="276"/>
      <c r="AQ15" s="276"/>
      <c r="AR15" s="276"/>
      <c r="AS15" s="276"/>
      <c r="AT15" s="276"/>
      <c r="AU15" s="276"/>
      <c r="AV15" s="276"/>
    </row>
    <row r="16">
      <c r="A16" s="275"/>
      <c r="B16" s="312"/>
      <c r="C16" s="312"/>
      <c r="D16" s="312"/>
      <c r="E16" s="312"/>
      <c r="F16" s="312"/>
      <c r="G16" s="312"/>
      <c r="H16" s="312"/>
      <c r="I16" s="312"/>
      <c r="J16" s="312"/>
      <c r="K16" s="312"/>
      <c r="L16" s="312"/>
      <c r="M16" s="312"/>
      <c r="N16" s="312"/>
      <c r="O16" s="312"/>
      <c r="P16" s="312"/>
      <c r="Q16" s="312"/>
      <c r="R16" s="312"/>
      <c r="S16" s="312"/>
      <c r="T16" s="312"/>
      <c r="U16" s="275"/>
      <c r="V16" s="316"/>
      <c r="W16" s="316"/>
      <c r="X16" s="316"/>
      <c r="Y16" s="316"/>
      <c r="Z16" s="316"/>
      <c r="AA16" s="316"/>
      <c r="AB16" s="317"/>
      <c r="AC16" s="317"/>
      <c r="AD16" s="318"/>
      <c r="AE16" s="318"/>
      <c r="AF16" s="318"/>
      <c r="AG16" s="318"/>
      <c r="AH16" s="318"/>
      <c r="AI16" s="318"/>
      <c r="AJ16" s="317"/>
      <c r="AK16" s="317"/>
      <c r="AL16" s="276"/>
      <c r="AM16" s="319" t="s">
        <v>214</v>
      </c>
      <c r="AN16" s="7"/>
      <c r="AO16" s="7"/>
      <c r="AP16" s="5"/>
      <c r="AQ16" s="320">
        <v>100.0</v>
      </c>
      <c r="AR16" s="7"/>
      <c r="AS16" s="7"/>
      <c r="AT16" s="5"/>
      <c r="AU16" s="321"/>
      <c r="AV16" s="321"/>
    </row>
    <row r="17" ht="18.0" customHeight="1">
      <c r="A17" s="275"/>
      <c r="B17" s="322" t="s">
        <v>215</v>
      </c>
      <c r="C17" s="7"/>
      <c r="D17" s="7"/>
      <c r="E17" s="7"/>
      <c r="F17" s="7"/>
      <c r="G17" s="7"/>
      <c r="H17" s="7"/>
      <c r="I17" s="7"/>
      <c r="J17" s="7"/>
      <c r="K17" s="7"/>
      <c r="L17" s="7"/>
      <c r="M17" s="7"/>
      <c r="N17" s="7"/>
      <c r="O17" s="7"/>
      <c r="P17" s="7"/>
      <c r="Q17" s="7"/>
      <c r="R17" s="7"/>
      <c r="S17" s="7"/>
      <c r="T17" s="5"/>
      <c r="U17" s="275"/>
      <c r="V17" s="316"/>
      <c r="W17" s="316"/>
      <c r="X17" s="316"/>
      <c r="Y17" s="316"/>
      <c r="Z17" s="316"/>
      <c r="AA17" s="316"/>
      <c r="AB17" s="316"/>
      <c r="AC17" s="316"/>
      <c r="AD17" s="316"/>
      <c r="AE17" s="316"/>
      <c r="AF17" s="316"/>
      <c r="AG17" s="316"/>
      <c r="AH17" s="316"/>
      <c r="AI17" s="316"/>
      <c r="AJ17" s="316"/>
      <c r="AK17" s="316"/>
      <c r="AL17" s="276"/>
    </row>
    <row r="18" ht="18.75" customHeight="1">
      <c r="A18" s="275"/>
      <c r="B18" s="323"/>
      <c r="C18" s="11"/>
      <c r="D18" s="11"/>
      <c r="E18" s="11"/>
      <c r="F18" s="11"/>
      <c r="G18" s="11"/>
      <c r="H18" s="11"/>
      <c r="I18" s="11"/>
      <c r="J18" s="11"/>
      <c r="K18" s="11"/>
      <c r="L18" s="11"/>
      <c r="M18" s="11"/>
      <c r="N18" s="11"/>
      <c r="O18" s="11"/>
      <c r="P18" s="11"/>
      <c r="Q18" s="11"/>
      <c r="R18" s="11"/>
      <c r="S18" s="11"/>
      <c r="T18" s="12"/>
      <c r="U18" s="275"/>
      <c r="V18" s="309" t="s">
        <v>136</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2"/>
      <c r="AV18" s="310"/>
    </row>
    <row r="19" ht="15.75" customHeight="1">
      <c r="A19" s="275"/>
      <c r="B19" s="18"/>
      <c r="T19" s="19"/>
      <c r="U19" s="275"/>
      <c r="V19" s="2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22"/>
      <c r="AV19" s="312"/>
    </row>
    <row r="20" ht="18.0" customHeight="1">
      <c r="A20" s="275"/>
      <c r="B20" s="21"/>
      <c r="C20" s="31"/>
      <c r="D20" s="31"/>
      <c r="E20" s="31"/>
      <c r="F20" s="31"/>
      <c r="G20" s="31"/>
      <c r="H20" s="31"/>
      <c r="I20" s="31"/>
      <c r="J20" s="31"/>
      <c r="K20" s="31"/>
      <c r="L20" s="31"/>
      <c r="M20" s="31"/>
      <c r="N20" s="31"/>
      <c r="O20" s="31"/>
      <c r="P20" s="31"/>
      <c r="Q20" s="31"/>
      <c r="R20" s="31"/>
      <c r="S20" s="31"/>
      <c r="T20" s="22"/>
      <c r="U20" s="275"/>
      <c r="V20" s="311" t="s">
        <v>140</v>
      </c>
      <c r="W20" s="7"/>
      <c r="X20" s="7"/>
      <c r="Y20" s="7"/>
      <c r="Z20" s="7"/>
      <c r="AA20" s="5"/>
      <c r="AB20" s="311" t="s">
        <v>36</v>
      </c>
      <c r="AC20" s="5"/>
      <c r="AD20" s="311" t="s">
        <v>141</v>
      </c>
      <c r="AE20" s="7"/>
      <c r="AF20" s="7"/>
      <c r="AG20" s="5"/>
      <c r="AH20" s="324" t="s">
        <v>216</v>
      </c>
      <c r="AI20" s="7"/>
      <c r="AJ20" s="5"/>
      <c r="AK20" s="324" t="s">
        <v>217</v>
      </c>
      <c r="AL20" s="7"/>
      <c r="AM20" s="7"/>
      <c r="AN20" s="7"/>
      <c r="AO20" s="7"/>
      <c r="AP20" s="7"/>
      <c r="AQ20" s="7"/>
      <c r="AR20" s="7"/>
      <c r="AS20" s="7"/>
      <c r="AT20" s="7"/>
      <c r="AU20" s="5"/>
      <c r="AV20" s="310"/>
    </row>
    <row r="21">
      <c r="A21" s="275"/>
      <c r="B21" s="322" t="s">
        <v>218</v>
      </c>
      <c r="C21" s="7"/>
      <c r="D21" s="7"/>
      <c r="E21" s="7"/>
      <c r="F21" s="7"/>
      <c r="G21" s="7"/>
      <c r="H21" s="7"/>
      <c r="I21" s="7"/>
      <c r="J21" s="7"/>
      <c r="K21" s="7"/>
      <c r="L21" s="7"/>
      <c r="M21" s="7"/>
      <c r="N21" s="7"/>
      <c r="O21" s="7"/>
      <c r="P21" s="7"/>
      <c r="Q21" s="7"/>
      <c r="R21" s="7"/>
      <c r="S21" s="7"/>
      <c r="T21" s="5"/>
      <c r="U21" s="275"/>
      <c r="V21" s="325" t="s">
        <v>145</v>
      </c>
      <c r="W21" s="7"/>
      <c r="X21" s="7"/>
      <c r="Y21" s="7"/>
      <c r="Z21" s="7"/>
      <c r="AA21" s="5"/>
      <c r="AB21" s="326"/>
      <c r="AC21" s="5"/>
      <c r="AD21" s="282" t="str">
        <f>VLOOKUP(V21,'Banco de Dados'!A46:AQ118,8,0)</f>
        <v>1d4</v>
      </c>
      <c r="AE21" s="7"/>
      <c r="AF21" s="7"/>
      <c r="AG21" s="5"/>
      <c r="AH21" s="327" t="str">
        <f>VLOOKUP(V21,'Banco de Dados'!A46:AQ118,25,0)</f>
        <v>Perfuração</v>
      </c>
      <c r="AI21" s="7"/>
      <c r="AJ21" s="5"/>
      <c r="AK21" s="328" t="str">
        <f>VLOOKUP(V21,'Banco de Dados'!A46:AQ118,35,0)</f>
        <v>Leve, Sutileza, Arremesso (30/60), Múltiplo ataque, munição</v>
      </c>
      <c r="AL21" s="7"/>
      <c r="AM21" s="7"/>
      <c r="AN21" s="7"/>
      <c r="AO21" s="7"/>
      <c r="AP21" s="7"/>
      <c r="AQ21" s="7"/>
      <c r="AR21" s="7"/>
      <c r="AS21" s="7"/>
      <c r="AT21" s="7"/>
      <c r="AU21" s="5"/>
      <c r="AV21" s="310"/>
    </row>
    <row r="22" ht="21.75" customHeight="1">
      <c r="A22" s="275"/>
      <c r="B22" s="323"/>
      <c r="C22" s="11"/>
      <c r="D22" s="11"/>
      <c r="E22" s="11"/>
      <c r="F22" s="11"/>
      <c r="G22" s="11"/>
      <c r="H22" s="11"/>
      <c r="I22" s="11"/>
      <c r="J22" s="11"/>
      <c r="K22" s="11"/>
      <c r="L22" s="11"/>
      <c r="M22" s="11"/>
      <c r="N22" s="11"/>
      <c r="O22" s="11"/>
      <c r="P22" s="11"/>
      <c r="Q22" s="11"/>
      <c r="R22" s="11"/>
      <c r="S22" s="11"/>
      <c r="T22" s="12"/>
      <c r="U22" s="275"/>
      <c r="V22" s="325" t="s">
        <v>219</v>
      </c>
      <c r="W22" s="329"/>
      <c r="X22" s="329"/>
      <c r="Y22" s="329"/>
      <c r="Z22" s="329"/>
      <c r="AA22" s="330"/>
      <c r="AB22" s="326"/>
      <c r="AC22" s="330"/>
      <c r="AD22" s="282" t="str">
        <f>VLOOKUP(V22,'Banco de Dados'!A46:AQ118,8,0)</f>
        <v>1d12</v>
      </c>
      <c r="AE22" s="329"/>
      <c r="AF22" s="329"/>
      <c r="AG22" s="330"/>
      <c r="AH22" s="327" t="str">
        <f>VLOOKUP(V22,'Banco de Dados'!A47:AQ119,25,0)</f>
        <v>Contundente</v>
      </c>
      <c r="AI22" s="329"/>
      <c r="AJ22" s="330"/>
      <c r="AK22" s="328" t="str">
        <f>VLOOKUP(V22,'Banco de Dados'!A47:AQ119,35,0)</f>
        <v>Arremesso(40/80), Pesado, Duas Mãos, Retornável</v>
      </c>
      <c r="AL22" s="329"/>
      <c r="AM22" s="329"/>
      <c r="AN22" s="329"/>
      <c r="AO22" s="329"/>
      <c r="AP22" s="329"/>
      <c r="AQ22" s="7"/>
      <c r="AR22" s="7"/>
      <c r="AS22" s="7"/>
      <c r="AT22" s="7"/>
      <c r="AU22" s="5"/>
      <c r="AV22" s="331"/>
    </row>
    <row r="23">
      <c r="A23" s="275"/>
      <c r="B23" s="18"/>
      <c r="T23" s="19"/>
      <c r="U23" s="275"/>
      <c r="V23" s="325" t="s">
        <v>220</v>
      </c>
      <c r="W23" s="138"/>
      <c r="X23" s="138"/>
      <c r="Y23" s="138"/>
      <c r="Z23" s="138"/>
      <c r="AA23" s="139"/>
      <c r="AB23" s="326"/>
      <c r="AC23" s="139"/>
      <c r="AD23" s="282" t="str">
        <f>VLOOKUP(V23,'Banco de Dados'!A46:AQ118,8,0)</f>
        <v>1d4</v>
      </c>
      <c r="AE23" s="138"/>
      <c r="AF23" s="138"/>
      <c r="AG23" s="139"/>
      <c r="AH23" s="327" t="str">
        <f>VLOOKUP(V23,'Banco de Dados'!A48:AQ120,25,0)</f>
        <v>Perfuração</v>
      </c>
      <c r="AI23" s="138"/>
      <c r="AJ23" s="139"/>
      <c r="AK23" s="328" t="str">
        <f>VLOOKUP(V23,'Banco de Dados'!A48:AQ120,35,0)</f>
        <v>Arremesso (30/60), Múltiplo ataque, munição</v>
      </c>
      <c r="AL23" s="138"/>
      <c r="AM23" s="138"/>
      <c r="AN23" s="138"/>
      <c r="AO23" s="138"/>
      <c r="AP23" s="138"/>
      <c r="AQ23" s="7"/>
      <c r="AR23" s="7"/>
      <c r="AS23" s="7"/>
      <c r="AT23" s="7"/>
      <c r="AU23" s="5"/>
      <c r="AV23" s="331"/>
    </row>
    <row r="24">
      <c r="A24" s="275"/>
      <c r="B24" s="21"/>
      <c r="C24" s="31"/>
      <c r="D24" s="31"/>
      <c r="E24" s="31"/>
      <c r="F24" s="31"/>
      <c r="G24" s="31"/>
      <c r="H24" s="31"/>
      <c r="I24" s="31"/>
      <c r="J24" s="31"/>
      <c r="K24" s="31"/>
      <c r="L24" s="31"/>
      <c r="M24" s="31"/>
      <c r="N24" s="31"/>
      <c r="O24" s="31"/>
      <c r="P24" s="31"/>
      <c r="Q24" s="31"/>
      <c r="R24" s="31"/>
      <c r="S24" s="31"/>
      <c r="T24" s="22"/>
      <c r="U24" s="275"/>
      <c r="V24" s="325" t="s">
        <v>153</v>
      </c>
      <c r="W24" s="297"/>
      <c r="X24" s="297"/>
      <c r="Y24" s="297"/>
      <c r="Z24" s="297"/>
      <c r="AA24" s="298"/>
      <c r="AB24" s="326"/>
      <c r="AC24" s="298"/>
      <c r="AD24" s="282" t="str">
        <f>VLOOKUP(V24,'Banco de Dados'!A46:AQ118,8,0)</f>
        <v>1d6</v>
      </c>
      <c r="AE24" s="297"/>
      <c r="AF24" s="297"/>
      <c r="AG24" s="298"/>
      <c r="AH24" s="327" t="str">
        <f>VLOOKUP(V24,'Banco de Dados'!A49:AQ121,25,0)</f>
        <v>Cortante</v>
      </c>
      <c r="AI24" s="297"/>
      <c r="AJ24" s="298"/>
      <c r="AK24" s="328" t="str">
        <f>VLOOKUP(V24,'Banco de Dados'!A49:AQ121,35,0)</f>
        <v>Leve, Sutileza, Mortal, Flexível (Cortante d4)</v>
      </c>
      <c r="AL24" s="297"/>
      <c r="AM24" s="297"/>
      <c r="AN24" s="297"/>
      <c r="AO24" s="297"/>
      <c r="AP24" s="297"/>
      <c r="AQ24" s="7"/>
      <c r="AR24" s="7"/>
      <c r="AS24" s="7"/>
      <c r="AT24" s="7"/>
      <c r="AU24" s="5"/>
      <c r="AV24" s="331"/>
    </row>
    <row r="25">
      <c r="A25" s="275"/>
      <c r="B25" s="322" t="s">
        <v>221</v>
      </c>
      <c r="C25" s="7"/>
      <c r="D25" s="7"/>
      <c r="E25" s="7"/>
      <c r="F25" s="7"/>
      <c r="G25" s="7"/>
      <c r="H25" s="7"/>
      <c r="I25" s="7"/>
      <c r="J25" s="7"/>
      <c r="K25" s="7"/>
      <c r="L25" s="7"/>
      <c r="M25" s="7"/>
      <c r="N25" s="7"/>
      <c r="O25" s="7"/>
      <c r="P25" s="7"/>
      <c r="Q25" s="7"/>
      <c r="R25" s="7"/>
      <c r="S25" s="7"/>
      <c r="T25" s="5"/>
      <c r="U25" s="275"/>
      <c r="V25" s="325" t="s">
        <v>148</v>
      </c>
      <c r="W25" s="138"/>
      <c r="X25" s="138"/>
      <c r="Y25" s="138"/>
      <c r="Z25" s="138"/>
      <c r="AA25" s="139"/>
      <c r="AB25" s="326"/>
      <c r="AC25" s="139"/>
      <c r="AD25" s="282" t="str">
        <f>VLOOKUP(V25,'Banco de Dados'!A46:AQ118,8,0)</f>
        <v>1d4</v>
      </c>
      <c r="AE25" s="138"/>
      <c r="AF25" s="138"/>
      <c r="AG25" s="139"/>
      <c r="AH25" s="327" t="str">
        <f>VLOOKUP(V25,'Banco de Dados'!A50:AQ122,25,0)</f>
        <v>Contundente</v>
      </c>
      <c r="AI25" s="138"/>
      <c r="AJ25" s="139"/>
      <c r="AK25" s="328" t="str">
        <f>VLOOKUP(V25,'Banco de Dados'!A50:AQ122,35,0)</f>
        <v>Arremesso (30/120), Múltiplo ataque, munição</v>
      </c>
      <c r="AL25" s="138"/>
      <c r="AM25" s="138"/>
      <c r="AN25" s="138"/>
      <c r="AO25" s="138"/>
      <c r="AP25" s="138"/>
      <c r="AQ25" s="7"/>
      <c r="AR25" s="7"/>
      <c r="AS25" s="7"/>
      <c r="AT25" s="7"/>
      <c r="AU25" s="5"/>
      <c r="AV25" s="331"/>
    </row>
    <row r="26">
      <c r="A26" s="275"/>
      <c r="B26" s="323"/>
      <c r="C26" s="11"/>
      <c r="D26" s="11"/>
      <c r="E26" s="11"/>
      <c r="F26" s="11"/>
      <c r="G26" s="11"/>
      <c r="H26" s="11"/>
      <c r="I26" s="11"/>
      <c r="J26" s="11"/>
      <c r="K26" s="11"/>
      <c r="L26" s="11"/>
      <c r="M26" s="11"/>
      <c r="N26" s="11"/>
      <c r="O26" s="11"/>
      <c r="P26" s="11"/>
      <c r="Q26" s="11"/>
      <c r="R26" s="11"/>
      <c r="S26" s="11"/>
      <c r="T26" s="12"/>
      <c r="U26" s="275"/>
      <c r="V26" s="325"/>
      <c r="W26" s="7"/>
      <c r="X26" s="7"/>
      <c r="Y26" s="7"/>
      <c r="Z26" s="7"/>
      <c r="AA26" s="5"/>
      <c r="AB26" s="326"/>
      <c r="AC26" s="5"/>
      <c r="AD26" s="282" t="str">
        <f>VLOOKUP(V26,'Banco de Dados'!A46:AQ118,8,0)</f>
        <v>#N/A</v>
      </c>
      <c r="AE26" s="7"/>
      <c r="AF26" s="7"/>
      <c r="AG26" s="5"/>
      <c r="AH26" s="327" t="str">
        <f>VLOOKUP(V26,'Banco de Dados'!A51:AQ123,25,0)</f>
        <v>#N/A</v>
      </c>
      <c r="AI26" s="7"/>
      <c r="AJ26" s="5"/>
      <c r="AK26" s="328" t="str">
        <f>VLOOKUP(V26,'Banco de Dados'!A51:AQ123,35,0)</f>
        <v>#N/A</v>
      </c>
      <c r="AL26" s="7"/>
      <c r="AM26" s="7"/>
      <c r="AN26" s="7"/>
      <c r="AO26" s="7"/>
      <c r="AP26" s="7"/>
      <c r="AQ26" s="7"/>
      <c r="AR26" s="7"/>
      <c r="AS26" s="7"/>
      <c r="AT26" s="7"/>
      <c r="AU26" s="5"/>
    </row>
    <row r="27">
      <c r="A27" s="275"/>
      <c r="B27" s="18"/>
      <c r="T27" s="19"/>
      <c r="U27" s="275"/>
      <c r="V27" s="325"/>
      <c r="W27" s="7"/>
      <c r="X27" s="7"/>
      <c r="Y27" s="7"/>
      <c r="Z27" s="7"/>
      <c r="AA27" s="5"/>
      <c r="AB27" s="326"/>
      <c r="AC27" s="5"/>
      <c r="AD27" s="282" t="str">
        <f>VLOOKUP(V27,'Banco de Dados'!A46:AQ118,8,0)</f>
        <v>#N/A</v>
      </c>
      <c r="AE27" s="7"/>
      <c r="AF27" s="7"/>
      <c r="AG27" s="5"/>
      <c r="AH27" s="327" t="str">
        <f>VLOOKUP(V27,'Banco de Dados'!A52:AQ124,25,0)</f>
        <v>#N/A</v>
      </c>
      <c r="AI27" s="7"/>
      <c r="AJ27" s="5"/>
      <c r="AK27" s="328" t="str">
        <f>VLOOKUP(V27,'Banco de Dados'!A52:AQ124,35,0)</f>
        <v>#N/A</v>
      </c>
      <c r="AL27" s="7"/>
      <c r="AM27" s="7"/>
      <c r="AN27" s="7"/>
      <c r="AO27" s="7"/>
      <c r="AP27" s="7"/>
      <c r="AQ27" s="7"/>
      <c r="AR27" s="7"/>
      <c r="AS27" s="7"/>
      <c r="AT27" s="7"/>
      <c r="AU27" s="5"/>
    </row>
    <row r="28">
      <c r="A28" s="275"/>
      <c r="B28" s="21"/>
      <c r="C28" s="31"/>
      <c r="D28" s="31"/>
      <c r="E28" s="31"/>
      <c r="F28" s="31"/>
      <c r="G28" s="31"/>
      <c r="H28" s="31"/>
      <c r="I28" s="31"/>
      <c r="J28" s="31"/>
      <c r="K28" s="31"/>
      <c r="L28" s="31"/>
      <c r="M28" s="31"/>
      <c r="N28" s="31"/>
      <c r="O28" s="31"/>
      <c r="P28" s="31"/>
      <c r="Q28" s="31"/>
      <c r="R28" s="31"/>
      <c r="S28" s="31"/>
      <c r="T28" s="22"/>
      <c r="U28" s="275"/>
      <c r="V28" s="325"/>
      <c r="W28" s="329"/>
      <c r="X28" s="329"/>
      <c r="Y28" s="329"/>
      <c r="Z28" s="329"/>
      <c r="AA28" s="330"/>
      <c r="AB28" s="326"/>
      <c r="AC28" s="330"/>
      <c r="AD28" s="282" t="str">
        <f>VLOOKUP(V28,'Banco de Dados'!A46:AQ118,8,0)</f>
        <v>#N/A</v>
      </c>
      <c r="AE28" s="329"/>
      <c r="AF28" s="329"/>
      <c r="AG28" s="330"/>
      <c r="AH28" s="327" t="str">
        <f>VLOOKUP(V28,'Banco de Dados'!A53:AQ125,25,0)</f>
        <v>#N/A</v>
      </c>
      <c r="AI28" s="329"/>
      <c r="AJ28" s="330"/>
      <c r="AK28" s="328" t="str">
        <f>VLOOKUP(V28,'Banco de Dados'!A53:AQ125,35,0)</f>
        <v>#N/A</v>
      </c>
      <c r="AL28" s="329"/>
      <c r="AM28" s="329"/>
      <c r="AN28" s="329"/>
      <c r="AO28" s="329"/>
      <c r="AP28" s="329"/>
      <c r="AQ28" s="329"/>
      <c r="AR28" s="329"/>
      <c r="AS28" s="329"/>
      <c r="AT28" s="329"/>
      <c r="AU28" s="5"/>
    </row>
    <row r="29">
      <c r="A29" s="275"/>
      <c r="B29" s="322" t="s">
        <v>222</v>
      </c>
      <c r="C29" s="7"/>
      <c r="D29" s="7"/>
      <c r="E29" s="7"/>
      <c r="F29" s="7"/>
      <c r="G29" s="7"/>
      <c r="H29" s="7"/>
      <c r="I29" s="7"/>
      <c r="J29" s="7"/>
      <c r="K29" s="7"/>
      <c r="L29" s="7"/>
      <c r="M29" s="7"/>
      <c r="N29" s="7"/>
      <c r="O29" s="7"/>
      <c r="P29" s="7"/>
      <c r="Q29" s="7"/>
      <c r="R29" s="7"/>
      <c r="S29" s="7"/>
      <c r="T29" s="5"/>
      <c r="U29" s="275"/>
      <c r="V29" s="325"/>
      <c r="W29" s="138"/>
      <c r="X29" s="138"/>
      <c r="Y29" s="138"/>
      <c r="Z29" s="138"/>
      <c r="AA29" s="139"/>
      <c r="AB29" s="326"/>
      <c r="AC29" s="139"/>
      <c r="AD29" s="282" t="str">
        <f>VLOOKUP(V29,'Banco de Dados'!A46:AQ118,8,0)</f>
        <v>#N/A</v>
      </c>
      <c r="AE29" s="138"/>
      <c r="AF29" s="138"/>
      <c r="AG29" s="139"/>
      <c r="AH29" s="327" t="str">
        <f>VLOOKUP(V29,'Banco de Dados'!A54:AQ126,25,0)</f>
        <v>#N/A</v>
      </c>
      <c r="AI29" s="138"/>
      <c r="AJ29" s="139"/>
      <c r="AK29" s="328" t="str">
        <f>VLOOKUP(V29,'Banco de Dados'!A54:AQ126,35,0)</f>
        <v>#N/A</v>
      </c>
      <c r="AL29" s="138"/>
      <c r="AM29" s="138"/>
      <c r="AN29" s="138"/>
      <c r="AO29" s="138"/>
      <c r="AP29" s="138"/>
      <c r="AQ29" s="138"/>
      <c r="AR29" s="138"/>
      <c r="AS29" s="138"/>
      <c r="AT29" s="138"/>
      <c r="AU29" s="5"/>
    </row>
    <row r="30">
      <c r="A30" s="275"/>
      <c r="B30" s="323"/>
      <c r="C30" s="11"/>
      <c r="D30" s="11"/>
      <c r="E30" s="11"/>
      <c r="F30" s="11"/>
      <c r="G30" s="11"/>
      <c r="H30" s="11"/>
      <c r="I30" s="11"/>
      <c r="J30" s="11"/>
      <c r="K30" s="11"/>
      <c r="L30" s="11"/>
      <c r="M30" s="11"/>
      <c r="N30" s="11"/>
      <c r="O30" s="11"/>
      <c r="P30" s="11"/>
      <c r="Q30" s="11"/>
      <c r="R30" s="11"/>
      <c r="S30" s="11"/>
      <c r="T30" s="12"/>
      <c r="U30" s="275"/>
      <c r="V30" s="332"/>
      <c r="W30" s="332"/>
      <c r="X30" s="332"/>
      <c r="Y30" s="332"/>
      <c r="Z30" s="332"/>
      <c r="AA30" s="332"/>
      <c r="AB30" s="332"/>
      <c r="AC30" s="332"/>
      <c r="AD30" s="332"/>
      <c r="AE30" s="332"/>
      <c r="AF30" s="332"/>
      <c r="AG30" s="332"/>
      <c r="AH30" s="332"/>
      <c r="AI30" s="332"/>
      <c r="AJ30" s="332"/>
      <c r="AK30" s="332"/>
      <c r="AL30" s="332"/>
      <c r="AM30" s="332"/>
      <c r="AN30" s="332"/>
      <c r="AO30" s="332"/>
      <c r="AP30" s="332"/>
      <c r="AQ30" s="332"/>
      <c r="AR30" s="332"/>
      <c r="AS30" s="332"/>
      <c r="AT30" s="332"/>
    </row>
    <row r="31">
      <c r="A31" s="275"/>
      <c r="B31" s="18"/>
      <c r="T31" s="19"/>
      <c r="U31" s="275"/>
      <c r="V31" s="332"/>
      <c r="W31" s="332"/>
      <c r="X31" s="332"/>
      <c r="Y31" s="332"/>
      <c r="Z31" s="332"/>
      <c r="AA31" s="332"/>
      <c r="AB31" s="332"/>
      <c r="AC31" s="332"/>
      <c r="AD31" s="332"/>
      <c r="AE31" s="332"/>
      <c r="AF31" s="332"/>
      <c r="AG31" s="332"/>
      <c r="AH31" s="332"/>
      <c r="AI31" s="332"/>
      <c r="AJ31" s="332"/>
      <c r="AK31" s="332"/>
      <c r="AL31" s="332"/>
      <c r="AM31" s="332"/>
      <c r="AN31" s="332"/>
      <c r="AO31" s="332"/>
      <c r="AP31" s="332"/>
      <c r="AQ31" s="332"/>
      <c r="AR31" s="332"/>
      <c r="AS31" s="332"/>
      <c r="AT31" s="332"/>
    </row>
    <row r="32">
      <c r="A32" s="275"/>
      <c r="B32" s="21"/>
      <c r="C32" s="31"/>
      <c r="D32" s="31"/>
      <c r="E32" s="31"/>
      <c r="F32" s="31"/>
      <c r="G32" s="31"/>
      <c r="H32" s="31"/>
      <c r="I32" s="31"/>
      <c r="J32" s="31"/>
      <c r="K32" s="31"/>
      <c r="L32" s="31"/>
      <c r="M32" s="31"/>
      <c r="N32" s="31"/>
      <c r="O32" s="31"/>
      <c r="P32" s="31"/>
      <c r="Q32" s="31"/>
      <c r="R32" s="31"/>
      <c r="S32" s="31"/>
      <c r="T32" s="22"/>
      <c r="U32" s="275"/>
      <c r="V32" s="332"/>
      <c r="W32" s="332"/>
      <c r="X32" s="332"/>
      <c r="Y32" s="332"/>
      <c r="Z32" s="332"/>
      <c r="AA32" s="332"/>
      <c r="AB32" s="332"/>
      <c r="AC32" s="332"/>
      <c r="AD32" s="332"/>
      <c r="AE32" s="332"/>
      <c r="AF32" s="332"/>
      <c r="AG32" s="332"/>
      <c r="AH32" s="332"/>
      <c r="AI32" s="332"/>
      <c r="AJ32" s="332"/>
      <c r="AK32" s="332"/>
      <c r="AL32" s="332"/>
      <c r="AM32" s="332"/>
      <c r="AN32" s="332"/>
      <c r="AO32" s="332"/>
      <c r="AP32" s="332"/>
      <c r="AQ32" s="332"/>
      <c r="AR32" s="332"/>
      <c r="AS32" s="332"/>
      <c r="AT32" s="332"/>
    </row>
    <row r="33">
      <c r="A33" s="275"/>
      <c r="B33" s="322" t="s">
        <v>223</v>
      </c>
      <c r="C33" s="7"/>
      <c r="D33" s="7"/>
      <c r="E33" s="7"/>
      <c r="F33" s="7"/>
      <c r="G33" s="7"/>
      <c r="H33" s="7"/>
      <c r="I33" s="7"/>
      <c r="J33" s="7"/>
      <c r="K33" s="7"/>
      <c r="L33" s="7"/>
      <c r="M33" s="7"/>
      <c r="N33" s="7"/>
      <c r="O33" s="7"/>
      <c r="P33" s="7"/>
      <c r="Q33" s="7"/>
      <c r="R33" s="7"/>
      <c r="S33" s="7"/>
      <c r="T33" s="5"/>
      <c r="U33" s="310"/>
      <c r="V33" s="333" t="s">
        <v>224</v>
      </c>
      <c r="AT33" s="19"/>
    </row>
    <row r="34" ht="21.0" customHeight="1">
      <c r="A34" s="275"/>
      <c r="B34" s="323"/>
      <c r="C34" s="11"/>
      <c r="D34" s="11"/>
      <c r="E34" s="11"/>
      <c r="F34" s="11"/>
      <c r="G34" s="11"/>
      <c r="H34" s="11"/>
      <c r="I34" s="11"/>
      <c r="J34" s="11"/>
      <c r="K34" s="11"/>
      <c r="L34" s="11"/>
      <c r="M34" s="11"/>
      <c r="N34" s="11"/>
      <c r="O34" s="11"/>
      <c r="P34" s="11"/>
      <c r="Q34" s="11"/>
      <c r="R34" s="11"/>
      <c r="S34" s="11"/>
      <c r="T34" s="12"/>
      <c r="U34" s="310"/>
      <c r="V34" s="21"/>
      <c r="W34" s="31"/>
      <c r="X34" s="31"/>
      <c r="Y34" s="31"/>
      <c r="Z34" s="31"/>
      <c r="AA34" s="31"/>
      <c r="AB34" s="31"/>
      <c r="AC34" s="31"/>
      <c r="AD34" s="31"/>
      <c r="AE34" s="31"/>
      <c r="AF34" s="31"/>
      <c r="AG34" s="31"/>
      <c r="AH34" s="31"/>
      <c r="AI34" s="31"/>
      <c r="AJ34" s="123"/>
      <c r="AK34" s="123"/>
      <c r="AL34" s="123"/>
      <c r="AM34" s="123"/>
      <c r="AN34" s="123"/>
      <c r="AO34" s="31"/>
      <c r="AP34" s="31"/>
      <c r="AQ34" s="31"/>
      <c r="AR34" s="31"/>
      <c r="AS34" s="31"/>
      <c r="AT34" s="22"/>
    </row>
    <row r="35" ht="17.25" customHeight="1">
      <c r="A35" s="275"/>
      <c r="B35" s="18"/>
      <c r="T35" s="19"/>
      <c r="U35" s="310"/>
      <c r="V35" s="311" t="s">
        <v>199</v>
      </c>
      <c r="W35" s="7"/>
      <c r="X35" s="7"/>
      <c r="Y35" s="7"/>
      <c r="Z35" s="7"/>
      <c r="AA35" s="7"/>
      <c r="AB35" s="5"/>
      <c r="AC35" s="311" t="s">
        <v>225</v>
      </c>
      <c r="AD35" s="7"/>
      <c r="AE35" s="5"/>
      <c r="AF35" s="311" t="s">
        <v>226</v>
      </c>
      <c r="AG35" s="7"/>
      <c r="AH35" s="5"/>
      <c r="AI35" s="311" t="s">
        <v>216</v>
      </c>
      <c r="AJ35" s="7"/>
      <c r="AK35" s="7"/>
      <c r="AL35" s="5"/>
      <c r="AM35" s="311" t="s">
        <v>196</v>
      </c>
      <c r="AN35" s="7"/>
      <c r="AO35" s="7"/>
      <c r="AP35" s="7"/>
      <c r="AQ35" s="7"/>
      <c r="AR35" s="7"/>
      <c r="AS35" s="7"/>
      <c r="AT35" s="5"/>
    </row>
    <row r="36" ht="19.5" customHeight="1">
      <c r="A36" s="275"/>
      <c r="B36" s="21"/>
      <c r="C36" s="31"/>
      <c r="D36" s="31"/>
      <c r="E36" s="31"/>
      <c r="F36" s="31"/>
      <c r="G36" s="31"/>
      <c r="H36" s="31"/>
      <c r="I36" s="31"/>
      <c r="J36" s="31"/>
      <c r="K36" s="31"/>
      <c r="L36" s="31"/>
      <c r="M36" s="31"/>
      <c r="N36" s="31"/>
      <c r="O36" s="31"/>
      <c r="P36" s="31"/>
      <c r="Q36" s="31"/>
      <c r="R36" s="31"/>
      <c r="S36" s="31"/>
      <c r="T36" s="22"/>
      <c r="U36" s="310"/>
      <c r="V36" s="325" t="s">
        <v>227</v>
      </c>
      <c r="W36" s="7"/>
      <c r="X36" s="7"/>
      <c r="Y36" s="7"/>
      <c r="Z36" s="7"/>
      <c r="AA36" s="7"/>
      <c r="AB36" s="5"/>
      <c r="AC36" s="334">
        <f>VLOOKUP(V36,'Banco de Dados'!A2:AF40,29,0)</f>
        <v>5</v>
      </c>
      <c r="AD36" s="7"/>
      <c r="AE36" s="5"/>
      <c r="AF36" s="327" t="str">
        <f>VLOOKUP(V36,'Banco de Dados'!A2:AF40,13,0)</f>
        <v>DES</v>
      </c>
      <c r="AG36" s="7"/>
      <c r="AH36" s="5"/>
      <c r="AI36" s="327" t="str">
        <f>VLOOKUP(V36,'Banco de Dados'!A2:AF40,7,0)</f>
        <v>Armadura Média</v>
      </c>
      <c r="AJ36" s="297"/>
      <c r="AK36" s="297"/>
      <c r="AL36" s="298"/>
      <c r="AM36" s="327">
        <f>VLOOKUP(V36,'Banco de Dados'!A2:AG40,33,0)</f>
        <v>4</v>
      </c>
      <c r="AN36" s="297"/>
      <c r="AO36" s="297"/>
      <c r="AP36" s="297"/>
      <c r="AQ36" s="297"/>
      <c r="AR36" s="297"/>
      <c r="AS36" s="297"/>
      <c r="AT36" s="298"/>
    </row>
    <row r="37">
      <c r="A37" s="275"/>
      <c r="B37" s="309" t="s">
        <v>228</v>
      </c>
      <c r="C37" s="11"/>
      <c r="D37" s="11"/>
      <c r="E37" s="11"/>
      <c r="F37" s="11"/>
      <c r="G37" s="11"/>
      <c r="H37" s="11"/>
      <c r="I37" s="11"/>
      <c r="J37" s="11"/>
      <c r="K37" s="11"/>
      <c r="L37" s="11"/>
      <c r="M37" s="11"/>
      <c r="N37" s="11"/>
      <c r="O37" s="11"/>
      <c r="P37" s="11"/>
      <c r="Q37" s="11"/>
      <c r="R37" s="11"/>
      <c r="S37" s="11"/>
      <c r="T37" s="12"/>
      <c r="U37" s="275"/>
      <c r="V37" s="325" t="s">
        <v>229</v>
      </c>
      <c r="W37" s="329"/>
      <c r="X37" s="329"/>
      <c r="Y37" s="329"/>
      <c r="Z37" s="329"/>
      <c r="AA37" s="329"/>
      <c r="AB37" s="330"/>
      <c r="AC37" s="334">
        <f>VLOOKUP(V37,'Banco de Dados'!A2:AF40,29,0)</f>
        <v>4</v>
      </c>
      <c r="AD37" s="329"/>
      <c r="AE37" s="330"/>
      <c r="AF37" s="315" t="str">
        <f>VLOOKUP(V37,'Banco de Dados'!A2:AF40,13,0)</f>
        <v>DES</v>
      </c>
      <c r="AG37" s="329"/>
      <c r="AH37" s="330"/>
      <c r="AI37" s="315" t="str">
        <f>VLOOKUP(V37,'Banco de Dados'!A2:AF40,7,0)</f>
        <v>Armadura Média</v>
      </c>
      <c r="AJ37" s="329"/>
      <c r="AK37" s="329"/>
      <c r="AL37" s="330"/>
      <c r="AM37" s="315">
        <f>VLOOKUP(V37,'Banco de Dados'!A2:AI40,33,0)</f>
        <v>4</v>
      </c>
      <c r="AN37" s="329"/>
      <c r="AO37" s="329"/>
      <c r="AP37" s="329"/>
      <c r="AQ37" s="329"/>
      <c r="AR37" s="329"/>
      <c r="AS37" s="329"/>
      <c r="AT37" s="330"/>
    </row>
    <row r="38">
      <c r="A38" s="275"/>
      <c r="B38" s="21"/>
      <c r="C38" s="31"/>
      <c r="D38" s="31"/>
      <c r="E38" s="31"/>
      <c r="F38" s="31"/>
      <c r="G38" s="31"/>
      <c r="H38" s="31"/>
      <c r="I38" s="31"/>
      <c r="J38" s="31"/>
      <c r="K38" s="31"/>
      <c r="L38" s="31"/>
      <c r="M38" s="31"/>
      <c r="N38" s="31"/>
      <c r="O38" s="31"/>
      <c r="P38" s="31"/>
      <c r="Q38" s="31"/>
      <c r="R38" s="31"/>
      <c r="S38" s="31"/>
      <c r="T38" s="22"/>
      <c r="U38" s="275"/>
      <c r="V38" s="325"/>
      <c r="W38" s="138"/>
      <c r="X38" s="138"/>
      <c r="Y38" s="138"/>
      <c r="Z38" s="138"/>
      <c r="AA38" s="138"/>
      <c r="AB38" s="139"/>
      <c r="AC38" s="327" t="str">
        <f>VLOOKUP(V38,'Banco de Dados'!A2:AF40,29,0)</f>
        <v>#N/A</v>
      </c>
      <c r="AD38" s="138"/>
      <c r="AE38" s="139"/>
      <c r="AF38" s="315" t="str">
        <f>VLOOKUP(V38,'Banco de Dados'!A2:AF40,13,0)</f>
        <v>#N/A</v>
      </c>
      <c r="AG38" s="138"/>
      <c r="AH38" s="139"/>
      <c r="AI38" s="315" t="str">
        <f>VLOOKUP(V38,'Banco de Dados'!A2:AF40,7,0)</f>
        <v>#N/A</v>
      </c>
      <c r="AJ38" s="138"/>
      <c r="AK38" s="138"/>
      <c r="AL38" s="139"/>
      <c r="AM38" s="315" t="str">
        <f>VLOOKUP(V38,'Banco de Dados'!A2:AI40,33,0)</f>
        <v>#N/A</v>
      </c>
      <c r="AN38" s="138"/>
      <c r="AO38" s="138"/>
      <c r="AP38" s="138"/>
      <c r="AQ38" s="138"/>
      <c r="AR38" s="138"/>
      <c r="AS38" s="138"/>
      <c r="AT38" s="139"/>
    </row>
    <row r="39">
      <c r="A39" s="275"/>
      <c r="B39" s="335"/>
      <c r="C39" s="11"/>
      <c r="D39" s="11"/>
      <c r="E39" s="11"/>
      <c r="F39" s="11"/>
      <c r="G39" s="11"/>
      <c r="H39" s="11"/>
      <c r="I39" s="11"/>
      <c r="J39" s="11"/>
      <c r="K39" s="11"/>
      <c r="L39" s="11"/>
      <c r="M39" s="11"/>
      <c r="N39" s="11"/>
      <c r="O39" s="11"/>
      <c r="P39" s="11"/>
      <c r="Q39" s="11"/>
      <c r="R39" s="11"/>
      <c r="S39" s="11"/>
      <c r="T39" s="12"/>
      <c r="U39" s="275"/>
      <c r="V39" s="276"/>
      <c r="W39" s="276"/>
      <c r="X39" s="276"/>
      <c r="Y39" s="276"/>
      <c r="Z39" s="276"/>
      <c r="AA39" s="276"/>
      <c r="AB39" s="276"/>
      <c r="AC39" s="276"/>
      <c r="AD39" s="275"/>
      <c r="AE39" s="276"/>
      <c r="AF39" s="276"/>
      <c r="AG39" s="276"/>
      <c r="AH39" s="276"/>
      <c r="AI39" s="276"/>
      <c r="AJ39" s="276"/>
      <c r="AK39" s="276"/>
      <c r="AL39" s="276"/>
      <c r="AM39" s="276"/>
      <c r="AN39" s="276"/>
      <c r="AO39" s="276"/>
      <c r="AP39" s="276"/>
      <c r="AQ39" s="276"/>
    </row>
    <row r="40">
      <c r="A40" s="275"/>
      <c r="B40" s="18"/>
      <c r="T40" s="19"/>
      <c r="U40" s="275"/>
      <c r="V40" s="309" t="s">
        <v>230</v>
      </c>
      <c r="W40" s="11"/>
      <c r="X40" s="11"/>
      <c r="Y40" s="11"/>
      <c r="Z40" s="11"/>
      <c r="AA40" s="11"/>
      <c r="AB40" s="11"/>
      <c r="AC40" s="11"/>
      <c r="AD40" s="11"/>
      <c r="AE40" s="11"/>
      <c r="AF40" s="11"/>
      <c r="AG40" s="11"/>
      <c r="AH40" s="11"/>
      <c r="AI40" s="11"/>
      <c r="AJ40" s="11"/>
      <c r="AK40" s="11"/>
      <c r="AL40" s="11"/>
      <c r="AM40" s="11"/>
      <c r="AN40" s="12"/>
      <c r="AO40" s="276"/>
      <c r="AP40" s="276"/>
      <c r="AQ40" s="276"/>
    </row>
    <row r="41">
      <c r="A41" s="275"/>
      <c r="B41" s="18"/>
      <c r="T41" s="19"/>
      <c r="U41" s="275"/>
      <c r="V41" s="21"/>
      <c r="W41" s="31"/>
      <c r="X41" s="31"/>
      <c r="Y41" s="31"/>
      <c r="Z41" s="31"/>
      <c r="AA41" s="31"/>
      <c r="AB41" s="31"/>
      <c r="AC41" s="31"/>
      <c r="AD41" s="31"/>
      <c r="AE41" s="31"/>
      <c r="AF41" s="31"/>
      <c r="AG41" s="31"/>
      <c r="AH41" s="31"/>
      <c r="AI41" s="31"/>
      <c r="AJ41" s="31"/>
      <c r="AK41" s="31"/>
      <c r="AL41" s="31"/>
      <c r="AM41" s="31"/>
      <c r="AN41" s="22"/>
      <c r="AO41" s="276"/>
      <c r="AP41" s="276"/>
      <c r="AQ41" s="276"/>
    </row>
    <row r="42">
      <c r="A42" s="275"/>
      <c r="B42" s="18"/>
      <c r="T42" s="19"/>
      <c r="U42" s="275"/>
      <c r="V42" s="311" t="s">
        <v>231</v>
      </c>
      <c r="W42" s="7"/>
      <c r="X42" s="7"/>
      <c r="Y42" s="7"/>
      <c r="Z42" s="7"/>
      <c r="AA42" s="7"/>
      <c r="AB42" s="7"/>
      <c r="AC42" s="7"/>
      <c r="AD42" s="7"/>
      <c r="AE42" s="7"/>
      <c r="AF42" s="7"/>
      <c r="AG42" s="7"/>
      <c r="AH42" s="5"/>
      <c r="AI42" s="336" t="s">
        <v>232</v>
      </c>
      <c r="AJ42" s="7"/>
      <c r="AK42" s="5"/>
      <c r="AL42" s="337" t="s">
        <v>233</v>
      </c>
      <c r="AM42" s="7"/>
      <c r="AN42" s="5"/>
      <c r="AO42" s="275"/>
      <c r="AP42" s="276"/>
      <c r="AQ42" s="276"/>
    </row>
    <row r="43">
      <c r="A43" s="275"/>
      <c r="B43" s="18"/>
      <c r="T43" s="19"/>
      <c r="U43" s="275"/>
      <c r="V43" s="338"/>
      <c r="W43" s="7"/>
      <c r="X43" s="7"/>
      <c r="Y43" s="7"/>
      <c r="Z43" s="7"/>
      <c r="AA43" s="7"/>
      <c r="AB43" s="7"/>
      <c r="AC43" s="7"/>
      <c r="AD43" s="7"/>
      <c r="AE43" s="7"/>
      <c r="AF43" s="7"/>
      <c r="AG43" s="7"/>
      <c r="AH43" s="5"/>
      <c r="AI43" s="327">
        <v>0.0</v>
      </c>
      <c r="AJ43" s="7"/>
      <c r="AK43" s="5"/>
      <c r="AL43" s="315"/>
      <c r="AM43" s="7"/>
      <c r="AN43" s="5"/>
      <c r="AO43" s="275"/>
      <c r="AP43" s="276"/>
      <c r="AQ43" s="276"/>
    </row>
    <row r="44">
      <c r="A44" s="275"/>
      <c r="B44" s="18"/>
      <c r="T44" s="19"/>
      <c r="U44" s="275"/>
      <c r="V44" s="338"/>
      <c r="W44" s="7"/>
      <c r="X44" s="7"/>
      <c r="Y44" s="7"/>
      <c r="Z44" s="7"/>
      <c r="AA44" s="7"/>
      <c r="AB44" s="7"/>
      <c r="AC44" s="7"/>
      <c r="AD44" s="7"/>
      <c r="AE44" s="7"/>
      <c r="AF44" s="7"/>
      <c r="AG44" s="7"/>
      <c r="AH44" s="5"/>
      <c r="AI44" s="327">
        <v>0.0</v>
      </c>
      <c r="AJ44" s="7"/>
      <c r="AK44" s="5"/>
      <c r="AL44" s="315"/>
      <c r="AM44" s="7"/>
      <c r="AN44" s="5"/>
      <c r="AO44" s="276"/>
      <c r="AP44" s="276"/>
      <c r="AQ44" s="276"/>
    </row>
    <row r="45">
      <c r="A45" s="275"/>
      <c r="B45" s="18"/>
      <c r="T45" s="19"/>
      <c r="U45" s="275"/>
      <c r="V45" s="338"/>
      <c r="W45" s="7"/>
      <c r="X45" s="7"/>
      <c r="Y45" s="7"/>
      <c r="Z45" s="7"/>
      <c r="AA45" s="7"/>
      <c r="AB45" s="7"/>
      <c r="AC45" s="7"/>
      <c r="AD45" s="7"/>
      <c r="AE45" s="7"/>
      <c r="AF45" s="7"/>
      <c r="AG45" s="7"/>
      <c r="AH45" s="5"/>
      <c r="AI45" s="327">
        <v>0.0</v>
      </c>
      <c r="AJ45" s="7"/>
      <c r="AK45" s="5"/>
      <c r="AL45" s="315"/>
      <c r="AM45" s="7"/>
      <c r="AN45" s="5"/>
      <c r="AO45" s="276"/>
      <c r="AP45" s="276"/>
      <c r="AQ45" s="276"/>
    </row>
    <row r="46">
      <c r="A46" s="275"/>
      <c r="B46" s="18"/>
      <c r="T46" s="19"/>
      <c r="U46" s="275"/>
      <c r="V46" s="338"/>
      <c r="W46" s="7"/>
      <c r="X46" s="7"/>
      <c r="Y46" s="7"/>
      <c r="Z46" s="7"/>
      <c r="AA46" s="7"/>
      <c r="AB46" s="7"/>
      <c r="AC46" s="7"/>
      <c r="AD46" s="7"/>
      <c r="AE46" s="7"/>
      <c r="AF46" s="7"/>
      <c r="AG46" s="7"/>
      <c r="AH46" s="5"/>
      <c r="AI46" s="327">
        <v>0.0</v>
      </c>
      <c r="AJ46" s="7"/>
      <c r="AK46" s="5"/>
      <c r="AL46" s="315"/>
      <c r="AM46" s="7"/>
      <c r="AN46" s="5"/>
      <c r="AO46" s="276"/>
      <c r="AP46" s="276"/>
      <c r="AQ46" s="276"/>
    </row>
    <row r="47">
      <c r="A47" s="275"/>
      <c r="B47" s="18"/>
      <c r="T47" s="19"/>
      <c r="U47" s="275"/>
      <c r="V47" s="338"/>
      <c r="W47" s="7"/>
      <c r="X47" s="7"/>
      <c r="Y47" s="7"/>
      <c r="Z47" s="7"/>
      <c r="AA47" s="7"/>
      <c r="AB47" s="7"/>
      <c r="AC47" s="7"/>
      <c r="AD47" s="7"/>
      <c r="AE47" s="7"/>
      <c r="AF47" s="7"/>
      <c r="AG47" s="7"/>
      <c r="AH47" s="5"/>
      <c r="AI47" s="327">
        <v>0.0</v>
      </c>
      <c r="AJ47" s="7"/>
      <c r="AK47" s="5"/>
      <c r="AL47" s="315"/>
      <c r="AM47" s="7"/>
      <c r="AN47" s="5"/>
      <c r="AO47" s="276"/>
      <c r="AP47" s="276"/>
      <c r="AQ47" s="276"/>
    </row>
    <row r="48">
      <c r="A48" s="275"/>
      <c r="B48" s="18"/>
      <c r="T48" s="19"/>
      <c r="U48" s="275"/>
      <c r="V48" s="338"/>
      <c r="W48" s="7"/>
      <c r="X48" s="7"/>
      <c r="Y48" s="7"/>
      <c r="Z48" s="7"/>
      <c r="AA48" s="7"/>
      <c r="AB48" s="7"/>
      <c r="AC48" s="7"/>
      <c r="AD48" s="7"/>
      <c r="AE48" s="7"/>
      <c r="AF48" s="7"/>
      <c r="AG48" s="7"/>
      <c r="AH48" s="5"/>
      <c r="AI48" s="327">
        <v>0.0</v>
      </c>
      <c r="AJ48" s="7"/>
      <c r="AK48" s="5"/>
      <c r="AL48" s="339"/>
      <c r="AM48" s="7"/>
      <c r="AN48" s="5"/>
      <c r="AO48" s="276"/>
      <c r="AP48" s="276"/>
      <c r="AQ48" s="276"/>
      <c r="AR48" s="33"/>
      <c r="AS48" s="33"/>
      <c r="AT48" s="33"/>
      <c r="AU48" s="33"/>
      <c r="AV48" s="33"/>
    </row>
    <row r="49">
      <c r="A49" s="275"/>
      <c r="B49" s="18"/>
      <c r="T49" s="19"/>
      <c r="U49" s="275"/>
      <c r="V49" s="338"/>
      <c r="W49" s="7"/>
      <c r="X49" s="7"/>
      <c r="Y49" s="7"/>
      <c r="Z49" s="7"/>
      <c r="AA49" s="7"/>
      <c r="AB49" s="7"/>
      <c r="AC49" s="7"/>
      <c r="AD49" s="7"/>
      <c r="AE49" s="7"/>
      <c r="AF49" s="7"/>
      <c r="AG49" s="7"/>
      <c r="AH49" s="5"/>
      <c r="AI49" s="327">
        <v>0.0</v>
      </c>
      <c r="AJ49" s="7"/>
      <c r="AK49" s="5"/>
      <c r="AL49" s="339"/>
      <c r="AM49" s="7"/>
      <c r="AN49" s="5"/>
      <c r="AO49" s="276"/>
      <c r="AP49" s="276"/>
      <c r="AQ49" s="276"/>
      <c r="AR49" s="275"/>
      <c r="AS49" s="275"/>
      <c r="AT49" s="275"/>
      <c r="AU49" s="275"/>
      <c r="AV49" s="275"/>
    </row>
    <row r="50">
      <c r="A50" s="275"/>
      <c r="B50" s="18"/>
      <c r="T50" s="19"/>
      <c r="U50" s="275"/>
      <c r="V50" s="338"/>
      <c r="W50" s="7"/>
      <c r="X50" s="7"/>
      <c r="Y50" s="7"/>
      <c r="Z50" s="7"/>
      <c r="AA50" s="7"/>
      <c r="AB50" s="7"/>
      <c r="AC50" s="7"/>
      <c r="AD50" s="7"/>
      <c r="AE50" s="7"/>
      <c r="AF50" s="7"/>
      <c r="AG50" s="7"/>
      <c r="AH50" s="5"/>
      <c r="AI50" s="327">
        <v>0.0</v>
      </c>
      <c r="AJ50" s="7"/>
      <c r="AK50" s="5"/>
      <c r="AL50" s="339"/>
      <c r="AM50" s="7"/>
      <c r="AN50" s="5"/>
      <c r="AO50" s="276"/>
      <c r="AP50" s="276"/>
      <c r="AQ50" s="276"/>
      <c r="AR50" s="275"/>
      <c r="AS50" s="275"/>
      <c r="AT50" s="275"/>
      <c r="AU50" s="275"/>
      <c r="AV50" s="275"/>
    </row>
    <row r="51">
      <c r="A51" s="275"/>
      <c r="B51" s="18"/>
      <c r="T51" s="19"/>
      <c r="U51" s="275"/>
      <c r="V51" s="338"/>
      <c r="W51" s="7"/>
      <c r="X51" s="7"/>
      <c r="Y51" s="7"/>
      <c r="Z51" s="7"/>
      <c r="AA51" s="7"/>
      <c r="AB51" s="7"/>
      <c r="AC51" s="7"/>
      <c r="AD51" s="7"/>
      <c r="AE51" s="7"/>
      <c r="AF51" s="7"/>
      <c r="AG51" s="7"/>
      <c r="AH51" s="5"/>
      <c r="AI51" s="327">
        <v>0.0</v>
      </c>
      <c r="AJ51" s="7"/>
      <c r="AK51" s="5"/>
      <c r="AL51" s="339"/>
      <c r="AM51" s="7"/>
      <c r="AN51" s="5"/>
      <c r="AO51" s="275"/>
      <c r="AP51" s="275"/>
      <c r="AQ51" s="275"/>
      <c r="AR51" s="275"/>
      <c r="AS51" s="275"/>
      <c r="AT51" s="275"/>
      <c r="AU51" s="275"/>
      <c r="AV51" s="275"/>
    </row>
    <row r="52">
      <c r="A52" s="275"/>
      <c r="B52" s="18"/>
      <c r="T52" s="19"/>
      <c r="U52" s="275"/>
      <c r="V52" s="338"/>
      <c r="W52" s="7"/>
      <c r="X52" s="7"/>
      <c r="Y52" s="7"/>
      <c r="Z52" s="7"/>
      <c r="AA52" s="7"/>
      <c r="AB52" s="7"/>
      <c r="AC52" s="7"/>
      <c r="AD52" s="7"/>
      <c r="AE52" s="7"/>
      <c r="AF52" s="7"/>
      <c r="AG52" s="7"/>
      <c r="AH52" s="5"/>
      <c r="AI52" s="327">
        <v>0.0</v>
      </c>
      <c r="AJ52" s="7"/>
      <c r="AK52" s="5"/>
      <c r="AL52" s="339"/>
      <c r="AM52" s="7"/>
      <c r="AN52" s="5"/>
      <c r="AO52" s="275"/>
      <c r="AP52" s="275"/>
      <c r="AQ52" s="275"/>
      <c r="AR52" s="275"/>
      <c r="AS52" s="275"/>
      <c r="AT52" s="275"/>
      <c r="AU52" s="275"/>
      <c r="AV52" s="275"/>
    </row>
    <row r="53">
      <c r="A53" s="275"/>
      <c r="B53" s="18"/>
      <c r="T53" s="19"/>
      <c r="U53" s="275"/>
      <c r="V53" s="338"/>
      <c r="W53" s="7"/>
      <c r="X53" s="7"/>
      <c r="Y53" s="7"/>
      <c r="Z53" s="7"/>
      <c r="AA53" s="7"/>
      <c r="AB53" s="7"/>
      <c r="AC53" s="7"/>
      <c r="AD53" s="7"/>
      <c r="AE53" s="7"/>
      <c r="AF53" s="7"/>
      <c r="AG53" s="7"/>
      <c r="AH53" s="5"/>
      <c r="AI53" s="327">
        <v>0.0</v>
      </c>
      <c r="AJ53" s="7"/>
      <c r="AK53" s="5"/>
      <c r="AL53" s="339"/>
      <c r="AM53" s="7"/>
      <c r="AN53" s="5"/>
      <c r="AO53" s="275"/>
      <c r="AP53" s="275"/>
      <c r="AQ53" s="275"/>
      <c r="AR53" s="275"/>
      <c r="AS53" s="275"/>
      <c r="AT53" s="275"/>
      <c r="AU53" s="275"/>
      <c r="AV53" s="275"/>
    </row>
    <row r="54">
      <c r="A54" s="275"/>
      <c r="B54" s="18"/>
      <c r="T54" s="19"/>
      <c r="U54" s="275"/>
      <c r="V54" s="338"/>
      <c r="W54" s="7"/>
      <c r="X54" s="7"/>
      <c r="Y54" s="7"/>
      <c r="Z54" s="7"/>
      <c r="AA54" s="7"/>
      <c r="AB54" s="7"/>
      <c r="AC54" s="7"/>
      <c r="AD54" s="7"/>
      <c r="AE54" s="7"/>
      <c r="AF54" s="7"/>
      <c r="AG54" s="7"/>
      <c r="AH54" s="5"/>
      <c r="AI54" s="327">
        <v>0.0</v>
      </c>
      <c r="AJ54" s="7"/>
      <c r="AK54" s="5"/>
      <c r="AL54" s="339"/>
      <c r="AM54" s="7"/>
      <c r="AN54" s="5"/>
      <c r="AO54" s="275"/>
      <c r="AP54" s="275"/>
      <c r="AQ54" s="275"/>
      <c r="AR54" s="275"/>
      <c r="AS54" s="275"/>
      <c r="AT54" s="275"/>
      <c r="AU54" s="275"/>
      <c r="AV54" s="275"/>
    </row>
    <row r="55">
      <c r="A55" s="275"/>
      <c r="B55" s="21"/>
      <c r="C55" s="31"/>
      <c r="D55" s="31"/>
      <c r="E55" s="31"/>
      <c r="F55" s="31"/>
      <c r="G55" s="31"/>
      <c r="H55" s="31"/>
      <c r="I55" s="31"/>
      <c r="J55" s="31"/>
      <c r="K55" s="31"/>
      <c r="L55" s="31"/>
      <c r="M55" s="31"/>
      <c r="N55" s="31"/>
      <c r="O55" s="31"/>
      <c r="P55" s="31"/>
      <c r="Q55" s="31"/>
      <c r="R55" s="31"/>
      <c r="S55" s="31"/>
      <c r="T55" s="22"/>
      <c r="U55" s="275"/>
      <c r="V55" s="338"/>
      <c r="W55" s="7"/>
      <c r="X55" s="7"/>
      <c r="Y55" s="7"/>
      <c r="Z55" s="7"/>
      <c r="AA55" s="7"/>
      <c r="AB55" s="7"/>
      <c r="AC55" s="7"/>
      <c r="AD55" s="7"/>
      <c r="AE55" s="7"/>
      <c r="AF55" s="7"/>
      <c r="AG55" s="7"/>
      <c r="AH55" s="5"/>
      <c r="AI55" s="327">
        <v>0.0</v>
      </c>
      <c r="AJ55" s="7"/>
      <c r="AK55" s="5"/>
      <c r="AL55" s="339"/>
      <c r="AM55" s="7"/>
      <c r="AN55" s="5"/>
      <c r="AO55" s="275"/>
      <c r="AP55" s="275"/>
      <c r="AQ55" s="275"/>
      <c r="AR55" s="275"/>
      <c r="AS55" s="275"/>
      <c r="AT55" s="275"/>
      <c r="AU55" s="275"/>
      <c r="AV55" s="275"/>
    </row>
    <row r="56">
      <c r="A56" s="275"/>
      <c r="B56" s="275"/>
      <c r="C56" s="275"/>
      <c r="D56" s="275"/>
      <c r="E56" s="275"/>
      <c r="F56" s="275"/>
      <c r="G56" s="275"/>
      <c r="H56" s="275"/>
      <c r="I56" s="275"/>
      <c r="J56" s="275"/>
      <c r="K56" s="275"/>
      <c r="L56" s="275"/>
      <c r="M56" s="275"/>
      <c r="N56" s="275"/>
      <c r="O56" s="275"/>
      <c r="P56" s="275"/>
      <c r="Q56" s="275"/>
      <c r="R56" s="275"/>
      <c r="S56" s="275"/>
      <c r="T56" s="275"/>
      <c r="U56" s="275"/>
      <c r="V56" s="316"/>
      <c r="W56" s="316"/>
      <c r="X56" s="316"/>
      <c r="Y56" s="316"/>
      <c r="Z56" s="316"/>
      <c r="AA56" s="316"/>
      <c r="AB56" s="316"/>
      <c r="AC56" s="316"/>
      <c r="AD56" s="316"/>
      <c r="AE56" s="316"/>
      <c r="AF56" s="316"/>
      <c r="AG56" s="316"/>
      <c r="AH56" s="316"/>
      <c r="AI56" s="316"/>
      <c r="AJ56" s="316"/>
      <c r="AK56" s="316"/>
      <c r="AL56" s="275"/>
      <c r="AM56" s="275"/>
      <c r="AN56" s="275"/>
      <c r="AO56" s="275"/>
      <c r="AP56" s="275"/>
      <c r="AQ56" s="275"/>
      <c r="AR56" s="275"/>
      <c r="AS56" s="275"/>
      <c r="AT56" s="275"/>
      <c r="AU56" s="275"/>
      <c r="AV56" s="275"/>
    </row>
    <row r="57">
      <c r="A57" s="275"/>
      <c r="B57" s="275"/>
      <c r="C57" s="275"/>
      <c r="D57" s="275"/>
      <c r="E57" s="275"/>
      <c r="F57" s="275"/>
      <c r="G57" s="275"/>
      <c r="H57" s="275"/>
      <c r="I57" s="275"/>
      <c r="J57" s="275"/>
      <c r="K57" s="275"/>
      <c r="L57" s="275"/>
      <c r="M57" s="275"/>
      <c r="N57" s="275"/>
      <c r="O57" s="275"/>
      <c r="P57" s="275"/>
      <c r="Q57" s="275"/>
      <c r="R57" s="275"/>
      <c r="S57" s="275"/>
      <c r="T57" s="275"/>
      <c r="U57" s="275"/>
      <c r="V57" s="316"/>
      <c r="W57" s="316"/>
      <c r="X57" s="316"/>
      <c r="Y57" s="316"/>
      <c r="Z57" s="316"/>
      <c r="AA57" s="316"/>
      <c r="AB57" s="316"/>
      <c r="AC57" s="316"/>
      <c r="AD57" s="316"/>
      <c r="AE57" s="316"/>
      <c r="AF57" s="316"/>
      <c r="AG57" s="316"/>
      <c r="AH57" s="316"/>
      <c r="AI57" s="316"/>
      <c r="AJ57" s="316"/>
      <c r="AK57" s="316"/>
      <c r="AL57" s="275"/>
      <c r="AM57" s="275"/>
      <c r="AN57" s="275"/>
      <c r="AO57" s="275"/>
      <c r="AP57" s="275"/>
      <c r="AQ57" s="275"/>
      <c r="AR57" s="275"/>
      <c r="AS57" s="275"/>
      <c r="AT57" s="275"/>
      <c r="AU57" s="275"/>
      <c r="AV57" s="275"/>
    </row>
    <row r="58">
      <c r="A58" s="275"/>
      <c r="B58" s="275"/>
      <c r="C58" s="275"/>
      <c r="D58" s="275"/>
      <c r="E58" s="275"/>
      <c r="F58" s="275"/>
      <c r="G58" s="275"/>
      <c r="H58" s="275"/>
      <c r="I58" s="275"/>
      <c r="J58" s="275"/>
      <c r="K58" s="275"/>
      <c r="L58" s="275"/>
      <c r="M58" s="275"/>
      <c r="N58" s="275"/>
      <c r="O58" s="275"/>
      <c r="P58" s="275"/>
      <c r="Q58" s="275"/>
      <c r="R58" s="275"/>
      <c r="S58" s="275"/>
      <c r="T58" s="275"/>
      <c r="U58" s="275"/>
      <c r="V58" s="275"/>
      <c r="AF58" s="275"/>
      <c r="AL58" s="275"/>
      <c r="AM58" s="275"/>
      <c r="AN58" s="275"/>
      <c r="AO58" s="275"/>
      <c r="AP58" s="275"/>
      <c r="AQ58" s="275"/>
      <c r="AR58" s="275"/>
      <c r="AS58" s="275"/>
      <c r="AT58" s="275"/>
      <c r="AU58" s="275"/>
      <c r="AV58" s="275"/>
    </row>
    <row r="59">
      <c r="A59" s="275"/>
      <c r="B59" s="275"/>
      <c r="C59" s="275"/>
      <c r="D59" s="275"/>
      <c r="E59" s="275"/>
      <c r="F59" s="275"/>
      <c r="G59" s="275"/>
      <c r="H59" s="275"/>
      <c r="I59" s="275"/>
      <c r="J59" s="275"/>
      <c r="K59" s="275"/>
      <c r="L59" s="275"/>
      <c r="M59" s="275"/>
      <c r="N59" s="275"/>
      <c r="O59" s="275"/>
      <c r="P59" s="275"/>
      <c r="Q59" s="275"/>
      <c r="R59" s="275"/>
      <c r="S59" s="275"/>
      <c r="T59" s="275"/>
      <c r="U59" s="275"/>
      <c r="V59" s="275"/>
      <c r="AB59" s="275"/>
      <c r="AD59" s="275"/>
      <c r="AJ59" s="275"/>
      <c r="AL59" s="275"/>
      <c r="AM59" s="275"/>
      <c r="AN59" s="275"/>
      <c r="AO59" s="275"/>
      <c r="AP59" s="275"/>
      <c r="AQ59" s="275"/>
      <c r="AR59" s="275"/>
      <c r="AS59" s="275"/>
      <c r="AT59" s="275"/>
      <c r="AU59" s="275"/>
      <c r="AV59" s="275"/>
    </row>
  </sheetData>
  <mergeCells count="225">
    <mergeCell ref="AI50:AK50"/>
    <mergeCell ref="AL50:AN50"/>
    <mergeCell ref="V48:AH48"/>
    <mergeCell ref="AI48:AK48"/>
    <mergeCell ref="AL48:AN48"/>
    <mergeCell ref="V49:AH49"/>
    <mergeCell ref="AI49:AK49"/>
    <mergeCell ref="AL49:AN49"/>
    <mergeCell ref="V50:AH50"/>
    <mergeCell ref="AI37:AL37"/>
    <mergeCell ref="AM37:AT37"/>
    <mergeCell ref="AC35:AE35"/>
    <mergeCell ref="AC36:AE36"/>
    <mergeCell ref="AF36:AH36"/>
    <mergeCell ref="AI36:AL36"/>
    <mergeCell ref="AM36:AT36"/>
    <mergeCell ref="AC37:AE37"/>
    <mergeCell ref="AF37:AH37"/>
    <mergeCell ref="AC38:AE38"/>
    <mergeCell ref="AF38:AH38"/>
    <mergeCell ref="AI38:AL38"/>
    <mergeCell ref="AM38:AT38"/>
    <mergeCell ref="V40:AN41"/>
    <mergeCell ref="AI42:AK42"/>
    <mergeCell ref="AL42:AN42"/>
    <mergeCell ref="V42:AH42"/>
    <mergeCell ref="V43:AH43"/>
    <mergeCell ref="AI43:AK43"/>
    <mergeCell ref="AL43:AN43"/>
    <mergeCell ref="V44:AH44"/>
    <mergeCell ref="AI44:AK44"/>
    <mergeCell ref="AL44:AN44"/>
    <mergeCell ref="AI47:AK47"/>
    <mergeCell ref="AL47:AN47"/>
    <mergeCell ref="V45:AH45"/>
    <mergeCell ref="AI45:AK45"/>
    <mergeCell ref="AL45:AN45"/>
    <mergeCell ref="V46:AH46"/>
    <mergeCell ref="AI46:AK46"/>
    <mergeCell ref="AL46:AN46"/>
    <mergeCell ref="V47:AH47"/>
    <mergeCell ref="V51:AH51"/>
    <mergeCell ref="AI51:AK51"/>
    <mergeCell ref="AL51:AN51"/>
    <mergeCell ref="B2:D3"/>
    <mergeCell ref="E2:T3"/>
    <mergeCell ref="V2:AK3"/>
    <mergeCell ref="AM2:AT3"/>
    <mergeCell ref="B4:J4"/>
    <mergeCell ref="K4:M4"/>
    <mergeCell ref="N4:T4"/>
    <mergeCell ref="AP4:AS4"/>
    <mergeCell ref="K6:M6"/>
    <mergeCell ref="N6:T6"/>
    <mergeCell ref="V6:AA6"/>
    <mergeCell ref="AB6:AC6"/>
    <mergeCell ref="AP5:AS5"/>
    <mergeCell ref="AP6:AR6"/>
    <mergeCell ref="AP7:AS7"/>
    <mergeCell ref="K7:M7"/>
    <mergeCell ref="N7:T7"/>
    <mergeCell ref="V7:AA7"/>
    <mergeCell ref="AB7:AC7"/>
    <mergeCell ref="V8:AA8"/>
    <mergeCell ref="AB8:AC8"/>
    <mergeCell ref="AD8:AI8"/>
    <mergeCell ref="AJ8:AK8"/>
    <mergeCell ref="AM8:AO8"/>
    <mergeCell ref="AP8:AS8"/>
    <mergeCell ref="K8:M8"/>
    <mergeCell ref="N8:T8"/>
    <mergeCell ref="K9:M9"/>
    <mergeCell ref="N9:T9"/>
    <mergeCell ref="V9:AA9"/>
    <mergeCell ref="AB9:AC9"/>
    <mergeCell ref="K10:M10"/>
    <mergeCell ref="N10:T10"/>
    <mergeCell ref="V10:AA10"/>
    <mergeCell ref="AB10:AC10"/>
    <mergeCell ref="K11:M11"/>
    <mergeCell ref="N11:T11"/>
    <mergeCell ref="V11:AA11"/>
    <mergeCell ref="AB11:AC11"/>
    <mergeCell ref="K12:M12"/>
    <mergeCell ref="N12:T12"/>
    <mergeCell ref="V12:AA12"/>
    <mergeCell ref="AB12:AC12"/>
    <mergeCell ref="K13:M13"/>
    <mergeCell ref="N13:T13"/>
    <mergeCell ref="V13:AA13"/>
    <mergeCell ref="AB13:AC13"/>
    <mergeCell ref="K14:M14"/>
    <mergeCell ref="N14:T14"/>
    <mergeCell ref="V14:AA14"/>
    <mergeCell ref="AB14:AC14"/>
    <mergeCell ref="V4:AA4"/>
    <mergeCell ref="AB4:AC4"/>
    <mergeCell ref="B5:J14"/>
    <mergeCell ref="K5:M5"/>
    <mergeCell ref="N5:T5"/>
    <mergeCell ref="V5:AA5"/>
    <mergeCell ref="AB5:AC5"/>
    <mergeCell ref="AH25:AJ25"/>
    <mergeCell ref="AK25:AU25"/>
    <mergeCell ref="AD23:AG23"/>
    <mergeCell ref="AH23:AJ23"/>
    <mergeCell ref="AK23:AU23"/>
    <mergeCell ref="AD24:AG24"/>
    <mergeCell ref="AH24:AJ24"/>
    <mergeCell ref="AK24:AU24"/>
    <mergeCell ref="AD25:AG25"/>
    <mergeCell ref="AH28:AJ28"/>
    <mergeCell ref="AK28:AU28"/>
    <mergeCell ref="AD26:AG26"/>
    <mergeCell ref="AH26:AJ26"/>
    <mergeCell ref="AK26:AU26"/>
    <mergeCell ref="AD27:AG27"/>
    <mergeCell ref="AH27:AJ27"/>
    <mergeCell ref="AK27:AU27"/>
    <mergeCell ref="AD28:AG28"/>
    <mergeCell ref="AD4:AI4"/>
    <mergeCell ref="AJ4:AK4"/>
    <mergeCell ref="AM4:AO7"/>
    <mergeCell ref="AD5:AI5"/>
    <mergeCell ref="AJ5:AK5"/>
    <mergeCell ref="AD6:AI6"/>
    <mergeCell ref="AJ6:AK6"/>
    <mergeCell ref="AD7:AI7"/>
    <mergeCell ref="AJ7:AK7"/>
    <mergeCell ref="AD9:AI9"/>
    <mergeCell ref="AJ9:AK9"/>
    <mergeCell ref="AD10:AI10"/>
    <mergeCell ref="AJ10:AK10"/>
    <mergeCell ref="AM10:AT11"/>
    <mergeCell ref="AM12:AP12"/>
    <mergeCell ref="AM13:AP14"/>
    <mergeCell ref="AQ13:AT14"/>
    <mergeCell ref="AM16:AP16"/>
    <mergeCell ref="AQ16:AT16"/>
    <mergeCell ref="AD11:AI11"/>
    <mergeCell ref="AJ11:AK11"/>
    <mergeCell ref="AD12:AI12"/>
    <mergeCell ref="AJ12:AK12"/>
    <mergeCell ref="AQ12:AT12"/>
    <mergeCell ref="AD13:AI13"/>
    <mergeCell ref="AJ13:AK13"/>
    <mergeCell ref="AD14:AI14"/>
    <mergeCell ref="AJ14:AK14"/>
    <mergeCell ref="AD15:AI15"/>
    <mergeCell ref="AJ15:AK15"/>
    <mergeCell ref="V18:AU19"/>
    <mergeCell ref="AH20:AJ20"/>
    <mergeCell ref="AK20:AU20"/>
    <mergeCell ref="AD20:AG20"/>
    <mergeCell ref="AD21:AG21"/>
    <mergeCell ref="AH21:AJ21"/>
    <mergeCell ref="AK21:AU21"/>
    <mergeCell ref="AD22:AG22"/>
    <mergeCell ref="AH22:AJ22"/>
    <mergeCell ref="AK22:AU22"/>
    <mergeCell ref="AD29:AG29"/>
    <mergeCell ref="AH29:AJ29"/>
    <mergeCell ref="AK29:AU29"/>
    <mergeCell ref="V33:AT34"/>
    <mergeCell ref="AF35:AH35"/>
    <mergeCell ref="AI35:AL35"/>
    <mergeCell ref="AM35:AT35"/>
    <mergeCell ref="AI55:AK55"/>
    <mergeCell ref="AL55:AN55"/>
    <mergeCell ref="V53:AH53"/>
    <mergeCell ref="AI53:AK53"/>
    <mergeCell ref="AL53:AN53"/>
    <mergeCell ref="V54:AH54"/>
    <mergeCell ref="AI54:AK54"/>
    <mergeCell ref="AL54:AN54"/>
    <mergeCell ref="V55:AH55"/>
    <mergeCell ref="B15:D15"/>
    <mergeCell ref="E15:T15"/>
    <mergeCell ref="V15:AA15"/>
    <mergeCell ref="AB15:AC15"/>
    <mergeCell ref="B17:T17"/>
    <mergeCell ref="V20:AA20"/>
    <mergeCell ref="AB20:AC20"/>
    <mergeCell ref="V21:AA21"/>
    <mergeCell ref="AB21:AC21"/>
    <mergeCell ref="V22:AA22"/>
    <mergeCell ref="AB22:AC22"/>
    <mergeCell ref="V23:AA23"/>
    <mergeCell ref="AB23:AC23"/>
    <mergeCell ref="AB24:AC24"/>
    <mergeCell ref="V24:AA24"/>
    <mergeCell ref="V25:AA25"/>
    <mergeCell ref="AB25:AC25"/>
    <mergeCell ref="V26:AA26"/>
    <mergeCell ref="AB26:AC26"/>
    <mergeCell ref="V27:AA27"/>
    <mergeCell ref="AB27:AC27"/>
    <mergeCell ref="B33:T33"/>
    <mergeCell ref="B34:T36"/>
    <mergeCell ref="V35:AB35"/>
    <mergeCell ref="V36:AB36"/>
    <mergeCell ref="B37:T38"/>
    <mergeCell ref="V37:AB37"/>
    <mergeCell ref="V38:AB38"/>
    <mergeCell ref="B18:T20"/>
    <mergeCell ref="B21:T21"/>
    <mergeCell ref="B22:T24"/>
    <mergeCell ref="B25:T25"/>
    <mergeCell ref="B26:T28"/>
    <mergeCell ref="B29:T29"/>
    <mergeCell ref="B30:T32"/>
    <mergeCell ref="B39:T55"/>
    <mergeCell ref="V28:AA28"/>
    <mergeCell ref="AB28:AC28"/>
    <mergeCell ref="V29:AA29"/>
    <mergeCell ref="AB29:AC29"/>
    <mergeCell ref="V52:AH52"/>
    <mergeCell ref="AI52:AK52"/>
    <mergeCell ref="AL52:AN52"/>
    <mergeCell ref="V58:AE58"/>
    <mergeCell ref="AF58:AK58"/>
    <mergeCell ref="V59:AA59"/>
    <mergeCell ref="AB59:AC59"/>
    <mergeCell ref="AD59:AI59"/>
    <mergeCell ref="AJ59:AK59"/>
  </mergeCells>
  <dataValidations>
    <dataValidation type="list" allowBlank="1" showErrorMessage="1" sqref="AP7">
      <formula1>"For,Des,Con,Int,Sab,Car"</formula1>
    </dataValidation>
    <dataValidation type="list" allowBlank="1" showErrorMessage="1" sqref="V36:V38">
      <formula1>'Banco de Dados'!$A$2:$F$35</formula1>
    </dataValidation>
    <dataValidation type="list" allowBlank="1" showErrorMessage="1" sqref="V21:V29">
      <formula1>'Banco de Dados'!$A$46:$G$118</formula1>
    </dataValidation>
  </dataValidations>
  <drawing r:id="rId2"/>
  <legacyDrawing r:id="rId3"/>
  <tableParts count="2">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45" width="3.25"/>
  </cols>
  <sheetData>
    <row r="1">
      <c r="A1" s="24"/>
      <c r="B1" s="24"/>
      <c r="C1" s="24"/>
      <c r="D1" s="24"/>
      <c r="E1" s="24"/>
      <c r="F1" s="24"/>
      <c r="G1" s="24"/>
      <c r="H1" s="24"/>
      <c r="I1" s="24"/>
      <c r="J1" s="24"/>
      <c r="K1" s="24"/>
      <c r="L1" s="24"/>
      <c r="M1" s="24"/>
      <c r="N1" s="24"/>
      <c r="O1" s="24"/>
      <c r="P1" s="24"/>
      <c r="Q1" s="3"/>
      <c r="R1" s="3"/>
      <c r="S1" s="3"/>
      <c r="T1" s="3"/>
      <c r="U1" s="3"/>
      <c r="V1" s="3"/>
      <c r="W1" s="3"/>
      <c r="X1" s="3"/>
      <c r="Y1" s="3"/>
      <c r="Z1" s="3"/>
      <c r="AA1" s="3"/>
      <c r="AB1" s="3"/>
      <c r="AC1" s="3"/>
      <c r="AD1" s="3"/>
      <c r="AE1" s="3"/>
      <c r="AF1" s="3"/>
      <c r="AG1" s="3"/>
      <c r="AH1" s="3"/>
      <c r="AI1" s="24"/>
      <c r="AJ1" s="24"/>
      <c r="AK1" s="24"/>
      <c r="AL1" s="24"/>
      <c r="AM1" s="24"/>
      <c r="AN1" s="24"/>
      <c r="AO1" s="24"/>
      <c r="AP1" s="24"/>
      <c r="AQ1" s="24"/>
      <c r="AR1" s="24"/>
      <c r="AS1" s="24"/>
    </row>
    <row r="2">
      <c r="A2" s="24"/>
      <c r="B2" s="340"/>
      <c r="C2" s="341">
        <v>1.0</v>
      </c>
      <c r="D2" s="342" t="s">
        <v>234</v>
      </c>
      <c r="E2" s="7"/>
      <c r="F2" s="7"/>
      <c r="G2" s="5"/>
      <c r="H2" s="340"/>
      <c r="I2" s="24"/>
      <c r="J2" s="343">
        <v>0.0</v>
      </c>
      <c r="K2" s="344" t="s">
        <v>235</v>
      </c>
      <c r="L2" s="7"/>
      <c r="M2" s="7"/>
      <c r="N2" s="7"/>
      <c r="O2" s="7"/>
      <c r="P2" s="5"/>
      <c r="Q2" s="24"/>
      <c r="R2" s="250"/>
      <c r="S2" s="345" t="s">
        <v>236</v>
      </c>
      <c r="T2" s="11"/>
      <c r="U2" s="11"/>
      <c r="V2" s="11"/>
      <c r="W2" s="252"/>
      <c r="X2" s="346"/>
      <c r="Y2" s="345" t="s">
        <v>237</v>
      </c>
      <c r="Z2" s="11"/>
      <c r="AA2" s="11"/>
      <c r="AB2" s="11"/>
      <c r="AC2" s="252"/>
      <c r="AD2" s="346"/>
      <c r="AE2" s="345" t="s">
        <v>238</v>
      </c>
      <c r="AF2" s="11"/>
      <c r="AG2" s="11"/>
      <c r="AH2" s="11"/>
      <c r="AI2" s="259"/>
      <c r="AJ2" s="3"/>
      <c r="AK2" s="347" t="str">
        <f>Image("https://i.imgur.com/xr4aNbk.png")</f>
        <v/>
      </c>
      <c r="AL2" s="348" t="s">
        <v>239</v>
      </c>
      <c r="AM2" s="349"/>
      <c r="AN2" s="349"/>
      <c r="AO2" s="350" t="str">
        <f>image("https://i.imgur.com/dhiYEei.png")</f>
        <v/>
      </c>
      <c r="AP2" s="351" t="s">
        <v>240</v>
      </c>
      <c r="AQ2" s="352"/>
      <c r="AR2" s="352"/>
      <c r="AS2" s="353"/>
    </row>
    <row r="3">
      <c r="A3" s="24"/>
      <c r="B3" s="113"/>
      <c r="C3" s="354">
        <v>1.0</v>
      </c>
      <c r="D3" s="342" t="s">
        <v>241</v>
      </c>
      <c r="E3" s="7"/>
      <c r="F3" s="7"/>
      <c r="G3" s="5"/>
      <c r="H3" s="113"/>
      <c r="I3" s="24"/>
      <c r="J3" s="355">
        <v>0.0</v>
      </c>
      <c r="K3" s="344" t="s">
        <v>242</v>
      </c>
      <c r="L3" s="7"/>
      <c r="M3" s="7"/>
      <c r="N3" s="7"/>
      <c r="O3" s="7"/>
      <c r="P3" s="5"/>
      <c r="Q3" s="24"/>
      <c r="R3" s="18"/>
      <c r="S3" s="356">
        <f>SUM(8,Ficha!X3+V7)+Modificadores!B57</f>
        <v>14</v>
      </c>
      <c r="T3" s="11"/>
      <c r="U3" s="356">
        <f>SUM(Ficha!X3+V7)+Modificadores!B56</f>
        <v>6</v>
      </c>
      <c r="V3" s="11"/>
      <c r="X3" s="357"/>
      <c r="Y3" s="356">
        <f>SUM(8,Ficha!X3+AB7)+Modificadores!B59</f>
        <v>13</v>
      </c>
      <c r="Z3" s="11"/>
      <c r="AA3" s="356">
        <f>SUM(Ficha!X3+AB7)+Modificadores!B58</f>
        <v>5</v>
      </c>
      <c r="AB3" s="11"/>
      <c r="AD3" s="357"/>
      <c r="AE3" s="356">
        <f>SUM(8,Ficha!X3+AH7)+Modificadores!B61</f>
        <v>11</v>
      </c>
      <c r="AF3" s="11"/>
      <c r="AG3" s="356">
        <f>SUM(Ficha!X3+AH7)+Modificadores!B60</f>
        <v>3</v>
      </c>
      <c r="AH3" s="11"/>
      <c r="AI3" s="19"/>
      <c r="AJ3" s="3"/>
      <c r="AK3" s="358" t="str">
        <f>Image("https://i.imgur.com/RHUlZn9.png")</f>
        <v/>
      </c>
      <c r="AL3" s="359" t="s">
        <v>243</v>
      </c>
      <c r="AM3" s="352"/>
      <c r="AN3" s="352"/>
      <c r="AO3" s="350" t="str">
        <f>image("https://i.imgur.com/IBa5vej.png")</f>
        <v/>
      </c>
      <c r="AP3" s="351" t="s">
        <v>244</v>
      </c>
      <c r="AQ3" s="352"/>
      <c r="AR3" s="352"/>
      <c r="AS3" s="360"/>
    </row>
    <row r="4">
      <c r="A4" s="24"/>
      <c r="B4" s="113"/>
      <c r="C4" s="361">
        <v>2.0</v>
      </c>
      <c r="D4" s="342" t="s">
        <v>245</v>
      </c>
      <c r="E4" s="7"/>
      <c r="F4" s="7"/>
      <c r="G4" s="5"/>
      <c r="H4" s="113"/>
      <c r="I4" s="24"/>
      <c r="J4" s="362">
        <v>0.0</v>
      </c>
      <c r="K4" s="344" t="s">
        <v>246</v>
      </c>
      <c r="L4" s="7"/>
      <c r="M4" s="7"/>
      <c r="N4" s="7"/>
      <c r="O4" s="7"/>
      <c r="P4" s="5"/>
      <c r="Q4" s="24"/>
      <c r="R4" s="18"/>
      <c r="S4" s="31"/>
      <c r="T4" s="31"/>
      <c r="U4" s="31"/>
      <c r="V4" s="31"/>
      <c r="X4" s="357"/>
      <c r="Y4" s="31"/>
      <c r="Z4" s="31"/>
      <c r="AA4" s="31"/>
      <c r="AB4" s="31"/>
      <c r="AD4" s="357"/>
      <c r="AE4" s="31"/>
      <c r="AF4" s="31"/>
      <c r="AG4" s="31"/>
      <c r="AH4" s="31"/>
      <c r="AI4" s="19"/>
      <c r="AJ4" s="3"/>
      <c r="AK4" s="350" t="str">
        <f>Image("https://i.imgur.com/K1eHNGk.png")</f>
        <v/>
      </c>
      <c r="AL4" s="359" t="s">
        <v>247</v>
      </c>
      <c r="AM4" s="352"/>
      <c r="AN4" s="352"/>
      <c r="AO4" s="350" t="str">
        <f>image("https://i.imgur.com/ctgTtMO.png")</f>
        <v/>
      </c>
      <c r="AP4" s="351" t="s">
        <v>248</v>
      </c>
      <c r="AQ4" s="352"/>
      <c r="AR4" s="352"/>
      <c r="AS4" s="360"/>
    </row>
    <row r="5">
      <c r="A5" s="24"/>
      <c r="B5" s="113"/>
      <c r="C5" s="363">
        <v>3.0</v>
      </c>
      <c r="D5" s="342" t="s">
        <v>249</v>
      </c>
      <c r="E5" s="7"/>
      <c r="F5" s="7"/>
      <c r="G5" s="5"/>
      <c r="H5" s="113"/>
      <c r="I5" s="24"/>
      <c r="J5" s="362">
        <v>0.0</v>
      </c>
      <c r="K5" s="344" t="s">
        <v>250</v>
      </c>
      <c r="L5" s="7"/>
      <c r="M5" s="7"/>
      <c r="N5" s="7"/>
      <c r="O5" s="7"/>
      <c r="P5" s="5"/>
      <c r="Q5" s="364"/>
      <c r="R5" s="18"/>
      <c r="S5" s="365" t="s">
        <v>251</v>
      </c>
      <c r="X5" s="357"/>
      <c r="Y5" s="365" t="s">
        <v>251</v>
      </c>
      <c r="AD5" s="357"/>
      <c r="AE5" s="365" t="s">
        <v>251</v>
      </c>
      <c r="AI5" s="19"/>
      <c r="AJ5" s="3"/>
      <c r="AK5" s="366" t="str">
        <f>Image("https://i.imgur.com/4Mq49oP.png")</f>
        <v/>
      </c>
      <c r="AL5" s="359" t="s">
        <v>252</v>
      </c>
      <c r="AM5" s="352"/>
      <c r="AN5" s="352"/>
      <c r="AO5" s="350" t="str">
        <f>image("https://imgur.com/HjiOVvz.png")</f>
        <v/>
      </c>
      <c r="AP5" s="359" t="s">
        <v>253</v>
      </c>
      <c r="AQ5" s="352"/>
      <c r="AR5" s="352"/>
      <c r="AS5" s="367"/>
    </row>
    <row r="6">
      <c r="A6" s="24"/>
      <c r="B6" s="113"/>
      <c r="C6" s="368">
        <v>4.0</v>
      </c>
      <c r="D6" s="342" t="s">
        <v>254</v>
      </c>
      <c r="E6" s="7"/>
      <c r="F6" s="7"/>
      <c r="G6" s="5"/>
      <c r="H6" s="113"/>
      <c r="I6" s="24"/>
      <c r="J6" s="362">
        <v>0.0</v>
      </c>
      <c r="K6" s="344" t="s">
        <v>255</v>
      </c>
      <c r="L6" s="7"/>
      <c r="M6" s="7"/>
      <c r="N6" s="7"/>
      <c r="O6" s="7"/>
      <c r="P6" s="5"/>
      <c r="Q6" s="274"/>
      <c r="R6" s="18"/>
      <c r="S6" s="369" t="s">
        <v>256</v>
      </c>
      <c r="T6" s="7"/>
      <c r="U6" s="7"/>
      <c r="V6" s="7"/>
      <c r="X6" s="357"/>
      <c r="Y6" s="369" t="s">
        <v>256</v>
      </c>
      <c r="Z6" s="7"/>
      <c r="AA6" s="7"/>
      <c r="AB6" s="7"/>
      <c r="AD6" s="357"/>
      <c r="AE6" s="369" t="s">
        <v>256</v>
      </c>
      <c r="AF6" s="7"/>
      <c r="AG6" s="7"/>
      <c r="AH6" s="7"/>
      <c r="AI6" s="19"/>
      <c r="AJ6" s="3"/>
      <c r="AK6" s="350" t="str">
        <f>IMAGE("https://i.imgur.com/OpSlY0k.png")</f>
        <v/>
      </c>
      <c r="AL6" s="359" t="s">
        <v>257</v>
      </c>
      <c r="AM6" s="352"/>
      <c r="AN6" s="352"/>
      <c r="AO6" s="370" t="str">
        <f>image("https://narutoacademy.weebly.com/uploads/3/0/1/7/301732/4472387.gif")</f>
        <v/>
      </c>
      <c r="AP6" s="371" t="s">
        <v>258</v>
      </c>
      <c r="AQ6" s="372"/>
      <c r="AR6" s="372"/>
      <c r="AS6" s="360"/>
    </row>
    <row r="7">
      <c r="A7" s="24"/>
      <c r="B7" s="113"/>
      <c r="C7" s="373">
        <v>5.0</v>
      </c>
      <c r="D7" s="374" t="s">
        <v>259</v>
      </c>
      <c r="E7" s="7"/>
      <c r="F7" s="7"/>
      <c r="G7" s="5"/>
      <c r="H7" s="113"/>
      <c r="I7" s="24"/>
      <c r="J7" s="343">
        <f>SUM(J2:J6)</f>
        <v>0</v>
      </c>
      <c r="K7" s="344" t="s">
        <v>260</v>
      </c>
      <c r="L7" s="7"/>
      <c r="M7" s="7"/>
      <c r="N7" s="7"/>
      <c r="O7" s="7"/>
      <c r="P7" s="5"/>
      <c r="Q7" s="24"/>
      <c r="R7" s="21"/>
      <c r="S7" s="375" t="s">
        <v>68</v>
      </c>
      <c r="T7" s="31"/>
      <c r="U7" s="31"/>
      <c r="V7" s="376">
        <f>IF(S7="For",Ficha!C13,IF(S7="Des",Ficha!C18,IF(S7="Con",Ficha!C23,IF(S7="Int",Ficha!C28,IF(S7="Sab",Ficha!C33,Ficha!X16,IF(S7="Car",Ficha!C38,Ficha!X16))))))</f>
        <v>3</v>
      </c>
      <c r="W7" s="31"/>
      <c r="X7" s="377"/>
      <c r="Y7" s="375" t="s">
        <v>76</v>
      </c>
      <c r="Z7" s="31"/>
      <c r="AA7" s="31"/>
      <c r="AB7" s="376">
        <f>IF(Y7="For",Ficha!C13,IF(Y7="Des",Ficha!C18,IF(Y7="Con",Ficha!C23,IF(Y7="Int",Ficha!C28,IF(Y7="Sab",Ficha!C33,IF(Y7="Car",Ficha!C38,))))))</f>
        <v>2</v>
      </c>
      <c r="AC7" s="31"/>
      <c r="AD7" s="377"/>
      <c r="AE7" s="375" t="s">
        <v>61</v>
      </c>
      <c r="AF7" s="31"/>
      <c r="AG7" s="31"/>
      <c r="AH7" s="376">
        <f>IF(AE7="For",Ficha!C13,IF(AE7="Des",Ficha!C18,IF(AE7="Con",Ficha!C23,IF(AE7="Int",Ficha!C28,IF(AE7="Sab",Ficha!C33,IF(AE7="Car",Ficha!C38,))))))</f>
        <v>0</v>
      </c>
      <c r="AI7" s="22"/>
      <c r="AJ7" s="24"/>
      <c r="AK7" s="350" t="str">
        <f>image("https://i.imgur.com/66lADdK.png")</f>
        <v/>
      </c>
      <c r="AL7" s="359" t="s">
        <v>261</v>
      </c>
      <c r="AM7" s="352"/>
      <c r="AN7" s="352"/>
      <c r="AO7" s="350" t="str">
        <f>image("https://cdn-icons-png.flaticon.com/512/33/33785.png")</f>
        <v/>
      </c>
      <c r="AP7" s="378" t="s">
        <v>262</v>
      </c>
      <c r="AQ7" s="352"/>
      <c r="AR7" s="352"/>
      <c r="AS7" s="360"/>
    </row>
    <row r="8">
      <c r="A8" s="24"/>
      <c r="B8" s="146"/>
      <c r="C8" s="379" t="s">
        <v>263</v>
      </c>
      <c r="D8" s="7"/>
      <c r="E8" s="7"/>
      <c r="F8" s="7"/>
      <c r="G8" s="5"/>
      <c r="H8" s="146"/>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380" t="s">
        <v>264</v>
      </c>
      <c r="AL8" s="381"/>
      <c r="AM8" s="381"/>
      <c r="AN8" s="381"/>
      <c r="AO8" s="381"/>
      <c r="AP8" s="381"/>
      <c r="AQ8" s="381"/>
      <c r="AR8" s="382"/>
      <c r="AS8" s="360"/>
    </row>
    <row r="9">
      <c r="A9" s="142"/>
      <c r="B9" s="142"/>
      <c r="C9" s="142"/>
      <c r="D9" s="142"/>
      <c r="E9" s="142"/>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2"/>
      <c r="AH9" s="142"/>
      <c r="AI9" s="142"/>
      <c r="AJ9" s="142"/>
      <c r="AK9" s="142"/>
      <c r="AL9" s="142"/>
      <c r="AM9" s="142"/>
      <c r="AN9" s="142"/>
      <c r="AO9" s="383"/>
      <c r="AS9" s="360"/>
    </row>
    <row r="10">
      <c r="A10" s="142"/>
      <c r="B10" s="384">
        <v>1.0</v>
      </c>
      <c r="C10" s="385"/>
      <c r="D10" s="7"/>
      <c r="E10" s="7"/>
      <c r="F10" s="7"/>
      <c r="G10" s="7"/>
      <c r="H10" s="7"/>
      <c r="I10" s="7"/>
      <c r="J10" s="7"/>
      <c r="K10" s="7"/>
      <c r="L10" s="5"/>
      <c r="M10" s="386"/>
      <c r="N10" s="387"/>
      <c r="O10" s="388"/>
      <c r="P10" s="385"/>
      <c r="Q10" s="7"/>
      <c r="R10" s="7"/>
      <c r="S10" s="138"/>
      <c r="T10" s="7"/>
      <c r="U10" s="7"/>
      <c r="V10" s="7"/>
      <c r="W10" s="7"/>
      <c r="X10" s="7"/>
      <c r="Y10" s="5"/>
      <c r="Z10" s="386"/>
      <c r="AA10" s="387"/>
      <c r="AB10" s="388"/>
      <c r="AC10" s="385"/>
      <c r="AD10" s="389"/>
      <c r="AE10" s="389"/>
      <c r="AF10" s="389"/>
      <c r="AG10" s="389"/>
      <c r="AH10" s="389"/>
      <c r="AI10" s="389"/>
      <c r="AJ10" s="389"/>
      <c r="AK10" s="389"/>
      <c r="AL10" s="390"/>
      <c r="AM10" s="386"/>
      <c r="AN10" s="142"/>
      <c r="AO10" s="383"/>
      <c r="AS10" s="360"/>
    </row>
    <row r="11">
      <c r="A11" s="142"/>
      <c r="B11" s="391" t="s">
        <v>265</v>
      </c>
      <c r="G11" s="387"/>
      <c r="M11" s="54"/>
      <c r="N11" s="387"/>
      <c r="O11" s="391" t="s">
        <v>265</v>
      </c>
      <c r="T11" s="387"/>
      <c r="Z11" s="54"/>
      <c r="AA11" s="387"/>
      <c r="AB11" s="391" t="s">
        <v>265</v>
      </c>
      <c r="AG11" s="387"/>
      <c r="AM11" s="392"/>
      <c r="AN11" s="142"/>
      <c r="AO11" s="383"/>
      <c r="AS11" s="360"/>
    </row>
    <row r="12">
      <c r="A12" s="142"/>
      <c r="B12" s="391" t="s">
        <v>266</v>
      </c>
      <c r="D12" s="393" t="s">
        <v>267</v>
      </c>
      <c r="H12" s="394" t="s">
        <v>268</v>
      </c>
      <c r="J12" s="387"/>
      <c r="M12" s="54"/>
      <c r="N12" s="387"/>
      <c r="O12" s="391" t="s">
        <v>266</v>
      </c>
      <c r="Q12" s="393" t="s">
        <v>267</v>
      </c>
      <c r="U12" s="394" t="s">
        <v>268</v>
      </c>
      <c r="W12" s="387"/>
      <c r="Z12" s="54"/>
      <c r="AA12" s="387"/>
      <c r="AB12" s="391" t="s">
        <v>266</v>
      </c>
      <c r="AD12" s="393" t="s">
        <v>267</v>
      </c>
      <c r="AH12" s="394" t="s">
        <v>268</v>
      </c>
      <c r="AJ12" s="387"/>
      <c r="AM12" s="395"/>
      <c r="AN12" s="142"/>
      <c r="AO12" s="383"/>
      <c r="AS12" s="360"/>
    </row>
    <row r="13">
      <c r="A13" s="142"/>
      <c r="B13" s="391" t="s">
        <v>269</v>
      </c>
      <c r="F13" s="387"/>
      <c r="M13" s="54"/>
      <c r="N13" s="387"/>
      <c r="O13" s="391" t="s">
        <v>269</v>
      </c>
      <c r="S13" s="387"/>
      <c r="Z13" s="54"/>
      <c r="AA13" s="387"/>
      <c r="AB13" s="391" t="s">
        <v>269</v>
      </c>
      <c r="AF13" s="387"/>
      <c r="AM13" s="392"/>
      <c r="AN13" s="142"/>
      <c r="AO13" s="383"/>
      <c r="AS13" s="360"/>
    </row>
    <row r="14">
      <c r="A14" s="142"/>
      <c r="B14" s="391" t="s">
        <v>270</v>
      </c>
      <c r="E14" s="387"/>
      <c r="M14" s="54"/>
      <c r="N14" s="387"/>
      <c r="O14" s="391" t="s">
        <v>270</v>
      </c>
      <c r="R14" s="387"/>
      <c r="Z14" s="54"/>
      <c r="AA14" s="387"/>
      <c r="AB14" s="391" t="s">
        <v>270</v>
      </c>
      <c r="AE14" s="387"/>
      <c r="AM14" s="395"/>
      <c r="AN14" s="142"/>
    </row>
    <row r="15">
      <c r="A15" s="142"/>
      <c r="B15" s="391" t="s">
        <v>182</v>
      </c>
      <c r="E15" s="387"/>
      <c r="M15" s="54"/>
      <c r="N15" s="387"/>
      <c r="O15" s="391" t="s">
        <v>182</v>
      </c>
      <c r="R15" s="387"/>
      <c r="Z15" s="54"/>
      <c r="AA15" s="387"/>
      <c r="AB15" s="391" t="s">
        <v>182</v>
      </c>
      <c r="AE15" s="387"/>
      <c r="AM15" s="392"/>
      <c r="AN15" s="142"/>
      <c r="AO15" s="142"/>
      <c r="AP15" s="142"/>
      <c r="AQ15" s="142"/>
      <c r="AR15" s="142"/>
      <c r="AS15" s="142"/>
    </row>
    <row r="16">
      <c r="A16" s="396"/>
      <c r="B16" s="391" t="s">
        <v>271</v>
      </c>
      <c r="F16" s="387"/>
      <c r="M16" s="54"/>
      <c r="N16" s="387"/>
      <c r="O16" s="391" t="s">
        <v>271</v>
      </c>
      <c r="S16" s="387"/>
      <c r="Z16" s="54"/>
      <c r="AA16" s="387"/>
      <c r="AB16" s="391" t="s">
        <v>271</v>
      </c>
      <c r="AF16" s="387"/>
      <c r="AM16" s="395"/>
      <c r="AN16" s="142"/>
      <c r="AO16" s="142"/>
      <c r="AP16" s="142"/>
      <c r="AQ16" s="142"/>
      <c r="AR16" s="142"/>
      <c r="AS16" s="142"/>
    </row>
    <row r="17">
      <c r="A17" s="142"/>
      <c r="B17" s="391" t="s">
        <v>272</v>
      </c>
      <c r="F17" s="387"/>
      <c r="M17" s="54"/>
      <c r="N17" s="387"/>
      <c r="O17" s="391" t="s">
        <v>272</v>
      </c>
      <c r="S17" s="387"/>
      <c r="Z17" s="54"/>
      <c r="AA17" s="387"/>
      <c r="AB17" s="391" t="s">
        <v>272</v>
      </c>
      <c r="AF17" s="387"/>
      <c r="AM17" s="392"/>
      <c r="AN17" s="142"/>
      <c r="AO17" s="142"/>
      <c r="AP17" s="142"/>
      <c r="AQ17" s="142"/>
      <c r="AR17" s="142"/>
      <c r="AS17" s="142"/>
    </row>
    <row r="18">
      <c r="A18" s="396"/>
      <c r="B18" s="397"/>
      <c r="M18" s="54"/>
      <c r="N18" s="387"/>
      <c r="O18" s="397"/>
      <c r="Z18" s="54"/>
      <c r="AA18" s="387"/>
      <c r="AB18" s="397"/>
      <c r="AM18" s="395"/>
      <c r="AN18" s="142"/>
      <c r="AO18" s="142"/>
      <c r="AP18" s="142"/>
      <c r="AQ18" s="142"/>
      <c r="AR18" s="142"/>
      <c r="AS18" s="142"/>
    </row>
    <row r="19">
      <c r="A19" s="142"/>
      <c r="B19" s="398" t="s">
        <v>273</v>
      </c>
      <c r="M19" s="54"/>
      <c r="N19" s="387"/>
      <c r="O19" s="398" t="s">
        <v>273</v>
      </c>
      <c r="Z19" s="54"/>
      <c r="AA19" s="387"/>
      <c r="AB19" s="398" t="s">
        <v>273</v>
      </c>
      <c r="AM19" s="54"/>
      <c r="AN19" s="142"/>
      <c r="AO19" s="142"/>
      <c r="AP19" s="142"/>
      <c r="AQ19" s="142"/>
      <c r="AR19" s="142"/>
      <c r="AS19" s="142"/>
    </row>
    <row r="20">
      <c r="A20" s="142"/>
      <c r="B20" s="399"/>
      <c r="C20" s="84"/>
      <c r="D20" s="84"/>
      <c r="E20" s="84"/>
      <c r="F20" s="84"/>
      <c r="G20" s="84"/>
      <c r="H20" s="84"/>
      <c r="I20" s="84"/>
      <c r="J20" s="84"/>
      <c r="K20" s="84"/>
      <c r="L20" s="84"/>
      <c r="M20" s="85"/>
      <c r="N20" s="387"/>
      <c r="O20" s="399"/>
      <c r="P20" s="84"/>
      <c r="Q20" s="84"/>
      <c r="R20" s="84"/>
      <c r="S20" s="84"/>
      <c r="T20" s="84"/>
      <c r="U20" s="84"/>
      <c r="V20" s="84"/>
      <c r="W20" s="84"/>
      <c r="X20" s="84"/>
      <c r="Y20" s="84"/>
      <c r="Z20" s="85"/>
      <c r="AA20" s="387"/>
      <c r="AB20" s="399"/>
      <c r="AC20" s="84"/>
      <c r="AD20" s="84"/>
      <c r="AE20" s="84"/>
      <c r="AF20" s="84"/>
      <c r="AG20" s="84"/>
      <c r="AH20" s="84"/>
      <c r="AI20" s="84"/>
      <c r="AJ20" s="84"/>
      <c r="AK20" s="84"/>
      <c r="AL20" s="84"/>
      <c r="AM20" s="85"/>
      <c r="AN20" s="142"/>
      <c r="AO20" s="142"/>
      <c r="AP20" s="142"/>
      <c r="AQ20" s="142"/>
      <c r="AR20" s="142"/>
      <c r="AS20" s="142"/>
    </row>
    <row r="21">
      <c r="A21" s="142"/>
      <c r="B21" s="387"/>
      <c r="C21" s="387"/>
      <c r="D21" s="387"/>
      <c r="E21" s="387"/>
      <c r="F21" s="387"/>
      <c r="G21" s="387"/>
      <c r="H21" s="387"/>
      <c r="I21" s="387"/>
      <c r="J21" s="387"/>
      <c r="K21" s="387"/>
      <c r="L21" s="387"/>
      <c r="M21" s="387"/>
      <c r="N21" s="387"/>
      <c r="O21" s="387"/>
      <c r="P21" s="387"/>
      <c r="Q21" s="387"/>
      <c r="R21" s="387"/>
      <c r="S21" s="387"/>
      <c r="T21" s="387"/>
      <c r="U21" s="387"/>
      <c r="V21" s="387"/>
      <c r="W21" s="387"/>
      <c r="X21" s="387"/>
      <c r="Y21" s="387"/>
      <c r="Z21" s="387"/>
      <c r="AA21" s="387"/>
      <c r="AB21" s="387"/>
      <c r="AC21" s="387"/>
      <c r="AD21" s="387"/>
      <c r="AE21" s="387"/>
      <c r="AF21" s="387"/>
      <c r="AG21" s="387"/>
      <c r="AH21" s="387"/>
      <c r="AI21" s="387"/>
      <c r="AJ21" s="387"/>
      <c r="AK21" s="387"/>
      <c r="AL21" s="387"/>
      <c r="AM21" s="387"/>
      <c r="AN21" s="142"/>
      <c r="AO21" s="142"/>
      <c r="AP21" s="142"/>
      <c r="AQ21" s="142"/>
      <c r="AR21" s="142"/>
      <c r="AS21" s="142"/>
    </row>
    <row r="22">
      <c r="A22" s="142"/>
      <c r="B22" s="387"/>
      <c r="N22" s="387"/>
      <c r="O22" s="387"/>
      <c r="AA22" s="387"/>
      <c r="AB22" s="387"/>
      <c r="AN22" s="142"/>
      <c r="AO22" s="142"/>
      <c r="AP22" s="142"/>
      <c r="AQ22" s="142"/>
      <c r="AR22" s="142"/>
      <c r="AS22" s="142"/>
    </row>
    <row r="23">
      <c r="A23" s="142"/>
      <c r="B23" s="388"/>
      <c r="C23" s="385"/>
      <c r="D23" s="400"/>
      <c r="E23" s="400"/>
      <c r="F23" s="400"/>
      <c r="G23" s="400"/>
      <c r="H23" s="400"/>
      <c r="I23" s="400"/>
      <c r="J23" s="400"/>
      <c r="K23" s="400"/>
      <c r="L23" s="401"/>
      <c r="M23" s="386"/>
      <c r="N23" s="387"/>
      <c r="O23" s="388"/>
      <c r="P23" s="385"/>
      <c r="Q23" s="7"/>
      <c r="R23" s="7"/>
      <c r="S23" s="7"/>
      <c r="T23" s="7"/>
      <c r="U23" s="7"/>
      <c r="V23" s="7"/>
      <c r="W23" s="7"/>
      <c r="X23" s="7"/>
      <c r="Y23" s="5"/>
      <c r="Z23" s="386"/>
      <c r="AA23" s="387"/>
      <c r="AB23" s="388"/>
      <c r="AC23" s="385"/>
      <c r="AD23" s="7"/>
      <c r="AE23" s="7"/>
      <c r="AF23" s="7"/>
      <c r="AG23" s="7"/>
      <c r="AH23" s="7"/>
      <c r="AI23" s="7"/>
      <c r="AJ23" s="7"/>
      <c r="AK23" s="7"/>
      <c r="AL23" s="5"/>
      <c r="AM23" s="386"/>
      <c r="AN23" s="142"/>
      <c r="AO23" s="142"/>
      <c r="AP23" s="142"/>
      <c r="AQ23" s="142"/>
      <c r="AR23" s="142"/>
      <c r="AS23" s="142"/>
    </row>
    <row r="24">
      <c r="A24" s="142"/>
      <c r="B24" s="391" t="s">
        <v>265</v>
      </c>
      <c r="G24" s="387"/>
      <c r="M24" s="392"/>
      <c r="N24" s="387"/>
      <c r="O24" s="391" t="s">
        <v>265</v>
      </c>
      <c r="T24" s="387"/>
      <c r="Z24" s="54"/>
      <c r="AA24" s="387"/>
      <c r="AB24" s="391" t="s">
        <v>265</v>
      </c>
      <c r="AG24" s="387"/>
      <c r="AM24" s="54"/>
      <c r="AN24" s="142"/>
      <c r="AO24" s="142"/>
      <c r="AP24" s="142"/>
      <c r="AQ24" s="142"/>
      <c r="AR24" s="142"/>
      <c r="AS24" s="142"/>
    </row>
    <row r="25">
      <c r="A25" s="142"/>
      <c r="B25" s="391" t="s">
        <v>266</v>
      </c>
      <c r="D25" s="402"/>
      <c r="H25" s="394" t="s">
        <v>268</v>
      </c>
      <c r="J25" s="387"/>
      <c r="M25" s="395"/>
      <c r="N25" s="387"/>
      <c r="O25" s="391" t="s">
        <v>266</v>
      </c>
      <c r="Q25" s="402"/>
      <c r="U25" s="394" t="s">
        <v>268</v>
      </c>
      <c r="W25" s="387"/>
      <c r="Z25" s="54"/>
      <c r="AA25" s="387"/>
      <c r="AB25" s="391" t="s">
        <v>266</v>
      </c>
      <c r="AD25" s="402"/>
      <c r="AH25" s="394" t="s">
        <v>268</v>
      </c>
      <c r="AJ25" s="387"/>
      <c r="AM25" s="54"/>
      <c r="AN25" s="142"/>
      <c r="AO25" s="142"/>
      <c r="AP25" s="142"/>
      <c r="AQ25" s="142"/>
      <c r="AR25" s="142"/>
      <c r="AS25" s="142"/>
    </row>
    <row r="26">
      <c r="A26" s="142"/>
      <c r="B26" s="391" t="s">
        <v>269</v>
      </c>
      <c r="F26" s="387"/>
      <c r="M26" s="392"/>
      <c r="N26" s="387"/>
      <c r="O26" s="391" t="s">
        <v>269</v>
      </c>
      <c r="S26" s="387"/>
      <c r="Z26" s="54"/>
      <c r="AA26" s="387"/>
      <c r="AB26" s="391" t="s">
        <v>269</v>
      </c>
      <c r="AF26" s="387"/>
      <c r="AM26" s="54"/>
      <c r="AN26" s="142"/>
      <c r="AO26" s="142"/>
      <c r="AP26" s="142"/>
      <c r="AQ26" s="142"/>
      <c r="AR26" s="142"/>
      <c r="AS26" s="142"/>
    </row>
    <row r="27" ht="15.0" customHeight="1">
      <c r="A27" s="396"/>
      <c r="B27" s="391" t="s">
        <v>270</v>
      </c>
      <c r="E27" s="387"/>
      <c r="M27" s="395"/>
      <c r="N27" s="387"/>
      <c r="O27" s="391" t="s">
        <v>270</v>
      </c>
      <c r="R27" s="387"/>
      <c r="Z27" s="54"/>
      <c r="AA27" s="387"/>
      <c r="AB27" s="391" t="s">
        <v>270</v>
      </c>
      <c r="AE27" s="387"/>
      <c r="AM27" s="54"/>
      <c r="AN27" s="142"/>
      <c r="AO27" s="142"/>
      <c r="AP27" s="142"/>
      <c r="AQ27" s="142"/>
      <c r="AR27" s="142"/>
      <c r="AS27" s="142"/>
    </row>
    <row r="28" ht="15.0" customHeight="1">
      <c r="A28" s="142"/>
      <c r="B28" s="391" t="s">
        <v>182</v>
      </c>
      <c r="E28" s="387"/>
      <c r="M28" s="392"/>
      <c r="N28" s="387"/>
      <c r="O28" s="391" t="s">
        <v>182</v>
      </c>
      <c r="R28" s="387"/>
      <c r="Z28" s="54"/>
      <c r="AA28" s="387"/>
      <c r="AB28" s="391" t="s">
        <v>182</v>
      </c>
      <c r="AE28" s="387"/>
      <c r="AM28" s="54"/>
      <c r="AN28" s="142"/>
      <c r="AO28" s="142"/>
      <c r="AP28" s="142"/>
      <c r="AQ28" s="142"/>
      <c r="AR28" s="142"/>
      <c r="AS28" s="142"/>
    </row>
    <row r="29">
      <c r="A29" s="396"/>
      <c r="B29" s="391" t="s">
        <v>271</v>
      </c>
      <c r="F29" s="387"/>
      <c r="M29" s="395"/>
      <c r="N29" s="387"/>
      <c r="O29" s="391" t="s">
        <v>271</v>
      </c>
      <c r="S29" s="387"/>
      <c r="Z29" s="54"/>
      <c r="AA29" s="387"/>
      <c r="AB29" s="391" t="s">
        <v>271</v>
      </c>
      <c r="AF29" s="387"/>
      <c r="AM29" s="54"/>
      <c r="AN29" s="142"/>
      <c r="AO29" s="142"/>
      <c r="AP29" s="142"/>
      <c r="AQ29" s="142"/>
      <c r="AR29" s="142"/>
      <c r="AS29" s="142"/>
    </row>
    <row r="30">
      <c r="A30" s="142"/>
      <c r="B30" s="391" t="s">
        <v>272</v>
      </c>
      <c r="F30" s="387"/>
      <c r="M30" s="392"/>
      <c r="N30" s="387"/>
      <c r="O30" s="391" t="s">
        <v>272</v>
      </c>
      <c r="S30" s="387"/>
      <c r="Z30" s="54"/>
      <c r="AA30" s="387"/>
      <c r="AB30" s="391" t="s">
        <v>272</v>
      </c>
      <c r="AF30" s="387"/>
      <c r="AM30" s="54"/>
      <c r="AN30" s="142"/>
      <c r="AO30" s="142"/>
      <c r="AP30" s="142"/>
      <c r="AQ30" s="142"/>
      <c r="AR30" s="142"/>
      <c r="AS30" s="142"/>
    </row>
    <row r="31">
      <c r="A31" s="142"/>
      <c r="B31" s="397"/>
      <c r="M31" s="403"/>
      <c r="N31" s="387"/>
      <c r="O31" s="397"/>
      <c r="Z31" s="403"/>
      <c r="AA31" s="387"/>
      <c r="AB31" s="397"/>
      <c r="AM31" s="403"/>
      <c r="AN31" s="142"/>
      <c r="AO31" s="142"/>
      <c r="AP31" s="142"/>
      <c r="AQ31" s="142"/>
      <c r="AR31" s="142"/>
      <c r="AS31" s="142"/>
    </row>
    <row r="32">
      <c r="A32" s="142"/>
      <c r="B32" s="398" t="s">
        <v>273</v>
      </c>
      <c r="M32" s="392"/>
      <c r="N32" s="387"/>
      <c r="O32" s="398" t="s">
        <v>273</v>
      </c>
      <c r="Z32" s="392"/>
      <c r="AA32" s="387"/>
      <c r="AB32" s="398" t="s">
        <v>273</v>
      </c>
      <c r="AM32" s="392"/>
      <c r="AN32" s="142"/>
      <c r="AO32" s="142"/>
      <c r="AP32" s="142"/>
      <c r="AQ32" s="142"/>
      <c r="AR32" s="142"/>
      <c r="AS32" s="142"/>
    </row>
    <row r="33">
      <c r="A33" s="142"/>
      <c r="B33" s="399"/>
      <c r="C33" s="404"/>
      <c r="D33" s="404"/>
      <c r="E33" s="404"/>
      <c r="F33" s="404"/>
      <c r="G33" s="404"/>
      <c r="H33" s="404"/>
      <c r="I33" s="404"/>
      <c r="J33" s="404"/>
      <c r="K33" s="404"/>
      <c r="L33" s="404"/>
      <c r="M33" s="405"/>
      <c r="N33" s="387"/>
      <c r="O33" s="399"/>
      <c r="P33" s="404"/>
      <c r="Q33" s="404"/>
      <c r="R33" s="404"/>
      <c r="S33" s="404"/>
      <c r="T33" s="404"/>
      <c r="U33" s="404"/>
      <c r="V33" s="404"/>
      <c r="W33" s="404"/>
      <c r="X33" s="404"/>
      <c r="Y33" s="404"/>
      <c r="Z33" s="405"/>
      <c r="AA33" s="387"/>
      <c r="AB33" s="399"/>
      <c r="AC33" s="404"/>
      <c r="AD33" s="404"/>
      <c r="AE33" s="404"/>
      <c r="AF33" s="404"/>
      <c r="AG33" s="404"/>
      <c r="AH33" s="404"/>
      <c r="AI33" s="404"/>
      <c r="AJ33" s="404"/>
      <c r="AK33" s="404"/>
      <c r="AL33" s="404"/>
      <c r="AM33" s="405"/>
      <c r="AN33" s="142"/>
      <c r="AO33" s="142"/>
      <c r="AP33" s="142"/>
      <c r="AQ33" s="142"/>
      <c r="AR33" s="142"/>
      <c r="AS33" s="142"/>
    </row>
    <row r="34">
      <c r="A34" s="142"/>
      <c r="B34" s="387"/>
      <c r="C34" s="387"/>
      <c r="D34" s="387"/>
      <c r="E34" s="387"/>
      <c r="F34" s="387"/>
      <c r="G34" s="387"/>
      <c r="H34" s="387"/>
      <c r="I34" s="387"/>
      <c r="J34" s="387"/>
      <c r="K34" s="387"/>
      <c r="L34" s="387"/>
      <c r="M34" s="387"/>
      <c r="N34" s="387"/>
      <c r="O34" s="387"/>
      <c r="P34" s="387"/>
      <c r="Q34" s="387"/>
      <c r="R34" s="387"/>
      <c r="S34" s="387"/>
      <c r="T34" s="387"/>
      <c r="U34" s="387"/>
      <c r="V34" s="387"/>
      <c r="W34" s="387"/>
      <c r="X34" s="387"/>
      <c r="Y34" s="387"/>
      <c r="Z34" s="387"/>
      <c r="AA34" s="387"/>
      <c r="AB34" s="387"/>
      <c r="AC34" s="387"/>
      <c r="AD34" s="387"/>
      <c r="AE34" s="387"/>
      <c r="AF34" s="387"/>
      <c r="AG34" s="387"/>
      <c r="AH34" s="387"/>
      <c r="AI34" s="387"/>
      <c r="AJ34" s="387"/>
      <c r="AK34" s="387"/>
      <c r="AL34" s="387"/>
      <c r="AM34" s="387"/>
      <c r="AN34" s="142"/>
      <c r="AO34" s="142"/>
      <c r="AP34" s="142"/>
      <c r="AQ34" s="142"/>
      <c r="AR34" s="142"/>
      <c r="AS34" s="142"/>
    </row>
    <row r="35">
      <c r="A35" s="142"/>
      <c r="B35" s="387"/>
      <c r="C35" s="387"/>
      <c r="D35" s="387"/>
      <c r="E35" s="387"/>
      <c r="F35" s="387"/>
      <c r="G35" s="387"/>
      <c r="H35" s="387"/>
      <c r="I35" s="387"/>
      <c r="J35" s="387"/>
      <c r="K35" s="387"/>
      <c r="L35" s="387"/>
      <c r="M35" s="387"/>
      <c r="N35" s="387"/>
      <c r="O35" s="387"/>
      <c r="P35" s="387"/>
      <c r="Q35" s="387"/>
      <c r="R35" s="387"/>
      <c r="S35" s="387"/>
      <c r="T35" s="387"/>
      <c r="U35" s="387"/>
      <c r="V35" s="387"/>
      <c r="W35" s="387"/>
      <c r="X35" s="387"/>
      <c r="Y35" s="387"/>
      <c r="Z35" s="387"/>
      <c r="AA35" s="387"/>
      <c r="AB35" s="387"/>
      <c r="AC35" s="387"/>
      <c r="AD35" s="387"/>
      <c r="AE35" s="387"/>
      <c r="AF35" s="387"/>
      <c r="AG35" s="387"/>
      <c r="AH35" s="387"/>
      <c r="AI35" s="387"/>
      <c r="AJ35" s="387"/>
      <c r="AK35" s="387"/>
      <c r="AL35" s="387"/>
      <c r="AM35" s="387"/>
      <c r="AN35" s="142"/>
      <c r="AO35" s="142"/>
      <c r="AP35" s="142"/>
      <c r="AQ35" s="142"/>
      <c r="AR35" s="142"/>
      <c r="AS35" s="142"/>
    </row>
    <row r="36">
      <c r="A36" s="142"/>
      <c r="B36" s="388"/>
      <c r="C36" s="385"/>
      <c r="D36" s="406"/>
      <c r="E36" s="406"/>
      <c r="F36" s="406"/>
      <c r="G36" s="406"/>
      <c r="H36" s="406"/>
      <c r="I36" s="406"/>
      <c r="J36" s="406"/>
      <c r="K36" s="406"/>
      <c r="L36" s="407"/>
      <c r="M36" s="386"/>
      <c r="N36" s="387"/>
      <c r="O36" s="388"/>
      <c r="P36" s="385"/>
      <c r="Q36" s="406"/>
      <c r="R36" s="406"/>
      <c r="S36" s="406"/>
      <c r="T36" s="406"/>
      <c r="U36" s="406"/>
      <c r="V36" s="406"/>
      <c r="W36" s="406"/>
      <c r="X36" s="406"/>
      <c r="Y36" s="407"/>
      <c r="Z36" s="386"/>
      <c r="AA36" s="387"/>
      <c r="AB36" s="388"/>
      <c r="AC36" s="385"/>
      <c r="AD36" s="406"/>
      <c r="AE36" s="406"/>
      <c r="AF36" s="406"/>
      <c r="AG36" s="406"/>
      <c r="AH36" s="406"/>
      <c r="AI36" s="406"/>
      <c r="AJ36" s="406"/>
      <c r="AK36" s="406"/>
      <c r="AL36" s="407"/>
      <c r="AM36" s="386"/>
      <c r="AN36" s="142"/>
      <c r="AO36" s="142"/>
      <c r="AP36" s="142"/>
      <c r="AQ36" s="142"/>
      <c r="AR36" s="142"/>
      <c r="AS36" s="142"/>
    </row>
    <row r="37">
      <c r="A37" s="396"/>
      <c r="B37" s="391" t="s">
        <v>265</v>
      </c>
      <c r="G37" s="387"/>
      <c r="M37" s="395"/>
      <c r="N37" s="387"/>
      <c r="O37" s="391" t="s">
        <v>265</v>
      </c>
      <c r="T37" s="387"/>
      <c r="Z37" s="395"/>
      <c r="AA37" s="387"/>
      <c r="AB37" s="391" t="s">
        <v>265</v>
      </c>
      <c r="AG37" s="387"/>
      <c r="AM37" s="395"/>
      <c r="AN37" s="142"/>
      <c r="AO37" s="142"/>
      <c r="AP37" s="142"/>
      <c r="AQ37" s="142"/>
      <c r="AR37" s="142"/>
      <c r="AS37" s="142"/>
    </row>
    <row r="38" ht="15.75" customHeight="1">
      <c r="A38" s="142"/>
      <c r="B38" s="391" t="s">
        <v>266</v>
      </c>
      <c r="D38" s="402"/>
      <c r="H38" s="394" t="s">
        <v>268</v>
      </c>
      <c r="J38" s="387"/>
      <c r="M38" s="392"/>
      <c r="N38" s="387"/>
      <c r="O38" s="391" t="s">
        <v>266</v>
      </c>
      <c r="Q38" s="402"/>
      <c r="U38" s="394" t="s">
        <v>268</v>
      </c>
      <c r="W38" s="387"/>
      <c r="Z38" s="392"/>
      <c r="AA38" s="387"/>
      <c r="AB38" s="391" t="s">
        <v>266</v>
      </c>
      <c r="AD38" s="402"/>
      <c r="AH38" s="394" t="s">
        <v>268</v>
      </c>
      <c r="AJ38" s="387"/>
      <c r="AM38" s="392"/>
      <c r="AN38" s="142"/>
      <c r="AO38" s="142"/>
      <c r="AP38" s="142"/>
      <c r="AQ38" s="142"/>
      <c r="AR38" s="142"/>
      <c r="AS38" s="142"/>
    </row>
    <row r="39" ht="24.0" customHeight="1">
      <c r="A39" s="408"/>
      <c r="B39" s="391" t="s">
        <v>269</v>
      </c>
      <c r="F39" s="387"/>
      <c r="M39" s="395"/>
      <c r="N39" s="387"/>
      <c r="O39" s="391" t="s">
        <v>269</v>
      </c>
      <c r="S39" s="387"/>
      <c r="Z39" s="395"/>
      <c r="AA39" s="387"/>
      <c r="AB39" s="391" t="s">
        <v>269</v>
      </c>
      <c r="AF39" s="387"/>
      <c r="AM39" s="395"/>
      <c r="AN39" s="409"/>
      <c r="AO39" s="409"/>
      <c r="AP39" s="409"/>
      <c r="AQ39" s="409"/>
      <c r="AR39" s="409"/>
      <c r="AS39" s="409"/>
    </row>
    <row r="40" ht="15.75" customHeight="1">
      <c r="A40" s="142"/>
      <c r="B40" s="391" t="s">
        <v>270</v>
      </c>
      <c r="E40" s="387"/>
      <c r="M40" s="54"/>
      <c r="N40" s="387"/>
      <c r="O40" s="391" t="s">
        <v>270</v>
      </c>
      <c r="R40" s="387"/>
      <c r="Z40" s="54"/>
      <c r="AA40" s="387"/>
      <c r="AB40" s="391" t="s">
        <v>270</v>
      </c>
      <c r="AE40" s="387"/>
      <c r="AM40" s="54"/>
      <c r="AN40" s="142"/>
      <c r="AO40" s="142"/>
      <c r="AP40" s="142"/>
      <c r="AQ40" s="142"/>
      <c r="AR40" s="142"/>
      <c r="AS40" s="142"/>
    </row>
    <row r="41">
      <c r="A41" s="142"/>
      <c r="B41" s="391" t="s">
        <v>182</v>
      </c>
      <c r="E41" s="387"/>
      <c r="M41" s="403"/>
      <c r="N41" s="387"/>
      <c r="O41" s="391" t="s">
        <v>182</v>
      </c>
      <c r="R41" s="387"/>
      <c r="Z41" s="403"/>
      <c r="AA41" s="387"/>
      <c r="AB41" s="391" t="s">
        <v>182</v>
      </c>
      <c r="AE41" s="387"/>
      <c r="AM41" s="403"/>
      <c r="AN41" s="142"/>
      <c r="AO41" s="142"/>
      <c r="AP41" s="142"/>
      <c r="AQ41" s="142"/>
      <c r="AR41" s="142"/>
      <c r="AS41" s="142"/>
    </row>
    <row r="42">
      <c r="A42" s="142"/>
      <c r="B42" s="391" t="s">
        <v>271</v>
      </c>
      <c r="F42" s="387"/>
      <c r="M42" s="392"/>
      <c r="N42" s="387"/>
      <c r="O42" s="391" t="s">
        <v>271</v>
      </c>
      <c r="S42" s="387"/>
      <c r="Z42" s="392"/>
      <c r="AA42" s="387"/>
      <c r="AB42" s="391" t="s">
        <v>271</v>
      </c>
      <c r="AF42" s="387"/>
      <c r="AM42" s="392"/>
      <c r="AN42" s="142"/>
      <c r="AO42" s="142"/>
      <c r="AP42" s="142"/>
      <c r="AQ42" s="142"/>
      <c r="AR42" s="142"/>
      <c r="AS42" s="142"/>
    </row>
    <row r="43">
      <c r="A43" s="142"/>
      <c r="B43" s="391" t="s">
        <v>272</v>
      </c>
      <c r="F43" s="387"/>
      <c r="M43" s="395"/>
      <c r="N43" s="387"/>
      <c r="O43" s="391" t="s">
        <v>272</v>
      </c>
      <c r="S43" s="387"/>
      <c r="Z43" s="395"/>
      <c r="AA43" s="387"/>
      <c r="AB43" s="391" t="s">
        <v>272</v>
      </c>
      <c r="AF43" s="387"/>
      <c r="AM43" s="395"/>
      <c r="AN43" s="142"/>
      <c r="AO43" s="142"/>
      <c r="AP43" s="142"/>
      <c r="AQ43" s="142"/>
      <c r="AR43" s="142"/>
      <c r="AS43" s="142"/>
    </row>
    <row r="44">
      <c r="A44" s="142"/>
      <c r="B44" s="397"/>
      <c r="M44" s="392"/>
      <c r="N44" s="387"/>
      <c r="O44" s="397"/>
      <c r="Z44" s="392"/>
      <c r="AA44" s="387"/>
      <c r="AB44" s="397"/>
      <c r="AM44" s="392"/>
      <c r="AN44" s="142"/>
      <c r="AO44" s="142"/>
      <c r="AP44" s="142"/>
      <c r="AQ44" s="142"/>
      <c r="AR44" s="142"/>
      <c r="AS44" s="142"/>
    </row>
    <row r="45">
      <c r="A45" s="142"/>
      <c r="B45" s="398" t="s">
        <v>273</v>
      </c>
      <c r="M45" s="395"/>
      <c r="N45" s="387"/>
      <c r="O45" s="398" t="s">
        <v>273</v>
      </c>
      <c r="Z45" s="395"/>
      <c r="AA45" s="387"/>
      <c r="AB45" s="398" t="s">
        <v>273</v>
      </c>
      <c r="AM45" s="395"/>
      <c r="AN45" s="142"/>
      <c r="AO45" s="142"/>
      <c r="AP45" s="142"/>
      <c r="AQ45" s="142"/>
      <c r="AR45" s="142"/>
      <c r="AS45" s="142"/>
    </row>
    <row r="46">
      <c r="A46" s="142"/>
      <c r="B46" s="399"/>
      <c r="C46" s="410"/>
      <c r="D46" s="410"/>
      <c r="E46" s="410"/>
      <c r="F46" s="410"/>
      <c r="G46" s="410"/>
      <c r="H46" s="410"/>
      <c r="I46" s="410"/>
      <c r="J46" s="410"/>
      <c r="K46" s="410"/>
      <c r="L46" s="410"/>
      <c r="M46" s="411"/>
      <c r="N46" s="387"/>
      <c r="O46" s="399"/>
      <c r="P46" s="410"/>
      <c r="Q46" s="410"/>
      <c r="R46" s="410"/>
      <c r="S46" s="410"/>
      <c r="T46" s="410"/>
      <c r="U46" s="410"/>
      <c r="V46" s="410"/>
      <c r="W46" s="410"/>
      <c r="X46" s="410"/>
      <c r="Y46" s="410"/>
      <c r="Z46" s="411"/>
      <c r="AA46" s="387"/>
      <c r="AB46" s="399"/>
      <c r="AC46" s="410"/>
      <c r="AD46" s="410"/>
      <c r="AE46" s="410"/>
      <c r="AF46" s="410"/>
      <c r="AG46" s="410"/>
      <c r="AH46" s="410"/>
      <c r="AI46" s="410"/>
      <c r="AJ46" s="410"/>
      <c r="AK46" s="410"/>
      <c r="AL46" s="410"/>
      <c r="AM46" s="411"/>
      <c r="AN46" s="142"/>
      <c r="AO46" s="142"/>
      <c r="AP46" s="142"/>
      <c r="AQ46" s="142"/>
      <c r="AR46" s="142"/>
      <c r="AS46" s="142"/>
    </row>
    <row r="47">
      <c r="A47" s="142"/>
      <c r="B47" s="387"/>
      <c r="C47" s="387"/>
      <c r="D47" s="387"/>
      <c r="E47" s="387"/>
      <c r="F47" s="387"/>
      <c r="G47" s="387"/>
      <c r="H47" s="387"/>
      <c r="I47" s="387"/>
      <c r="J47" s="387"/>
      <c r="K47" s="387"/>
      <c r="L47" s="387"/>
      <c r="M47" s="387"/>
      <c r="N47" s="387"/>
      <c r="O47" s="387"/>
      <c r="P47" s="387"/>
      <c r="Q47" s="387"/>
      <c r="R47" s="387"/>
      <c r="S47" s="387"/>
      <c r="T47" s="387"/>
      <c r="U47" s="387"/>
      <c r="V47" s="387"/>
      <c r="W47" s="387"/>
      <c r="X47" s="387"/>
      <c r="Y47" s="387"/>
      <c r="Z47" s="387"/>
      <c r="AA47" s="387"/>
      <c r="AB47" s="387"/>
      <c r="AC47" s="387"/>
      <c r="AD47" s="387"/>
      <c r="AE47" s="387"/>
      <c r="AF47" s="387"/>
      <c r="AG47" s="387"/>
      <c r="AH47" s="387"/>
      <c r="AI47" s="387"/>
      <c r="AJ47" s="387"/>
      <c r="AK47" s="387"/>
      <c r="AL47" s="387"/>
      <c r="AM47" s="387"/>
      <c r="AN47" s="142"/>
      <c r="AO47" s="142"/>
      <c r="AP47" s="142"/>
      <c r="AQ47" s="142"/>
      <c r="AR47" s="142"/>
      <c r="AS47" s="142"/>
    </row>
    <row r="48">
      <c r="A48" s="142"/>
      <c r="B48" s="387"/>
      <c r="N48" s="387"/>
      <c r="O48" s="387"/>
      <c r="AA48" s="387"/>
      <c r="AB48" s="387"/>
      <c r="AN48" s="142"/>
      <c r="AO48" s="142"/>
      <c r="AP48" s="142"/>
      <c r="AQ48" s="142"/>
      <c r="AR48" s="142"/>
      <c r="AS48" s="142"/>
    </row>
    <row r="49">
      <c r="A49" s="142"/>
      <c r="B49" s="388"/>
      <c r="C49" s="385"/>
      <c r="D49" s="400"/>
      <c r="E49" s="400"/>
      <c r="F49" s="400"/>
      <c r="G49" s="400"/>
      <c r="H49" s="400"/>
      <c r="I49" s="400"/>
      <c r="J49" s="400"/>
      <c r="K49" s="400"/>
      <c r="L49" s="401"/>
      <c r="M49" s="386"/>
      <c r="N49" s="387"/>
      <c r="O49" s="388"/>
      <c r="P49" s="385"/>
      <c r="Q49" s="400"/>
      <c r="R49" s="400"/>
      <c r="S49" s="400"/>
      <c r="T49" s="400"/>
      <c r="U49" s="400"/>
      <c r="V49" s="400"/>
      <c r="W49" s="400"/>
      <c r="X49" s="400"/>
      <c r="Y49" s="401"/>
      <c r="Z49" s="386"/>
      <c r="AA49" s="387"/>
      <c r="AB49" s="388"/>
      <c r="AC49" s="385"/>
      <c r="AD49" s="400"/>
      <c r="AE49" s="400"/>
      <c r="AF49" s="400"/>
      <c r="AG49" s="400"/>
      <c r="AH49" s="400"/>
      <c r="AI49" s="400"/>
      <c r="AJ49" s="400"/>
      <c r="AK49" s="400"/>
      <c r="AL49" s="401"/>
      <c r="AM49" s="386"/>
      <c r="AN49" s="142"/>
      <c r="AO49" s="142"/>
      <c r="AP49" s="142"/>
      <c r="AQ49" s="142"/>
      <c r="AR49" s="142"/>
      <c r="AS49" s="142"/>
    </row>
    <row r="50">
      <c r="A50" s="396"/>
      <c r="B50" s="391" t="s">
        <v>265</v>
      </c>
      <c r="G50" s="387"/>
      <c r="M50" s="392"/>
      <c r="N50" s="387"/>
      <c r="O50" s="391" t="s">
        <v>265</v>
      </c>
      <c r="T50" s="387"/>
      <c r="Z50" s="392"/>
      <c r="AA50" s="387"/>
      <c r="AB50" s="391" t="s">
        <v>265</v>
      </c>
      <c r="AG50" s="387"/>
      <c r="AM50" s="392"/>
      <c r="AN50" s="142"/>
      <c r="AO50" s="142"/>
      <c r="AP50" s="142"/>
      <c r="AQ50" s="142"/>
      <c r="AR50" s="142"/>
      <c r="AS50" s="142"/>
    </row>
    <row r="51">
      <c r="A51" s="142"/>
      <c r="B51" s="391" t="s">
        <v>266</v>
      </c>
      <c r="D51" s="402"/>
      <c r="H51" s="394" t="s">
        <v>268</v>
      </c>
      <c r="J51" s="387"/>
      <c r="M51" s="54"/>
      <c r="N51" s="387"/>
      <c r="O51" s="391" t="s">
        <v>266</v>
      </c>
      <c r="Q51" s="402"/>
      <c r="U51" s="394" t="s">
        <v>268</v>
      </c>
      <c r="W51" s="387"/>
      <c r="Z51" s="54"/>
      <c r="AA51" s="387"/>
      <c r="AB51" s="391" t="s">
        <v>266</v>
      </c>
      <c r="AD51" s="402"/>
      <c r="AH51" s="394" t="s">
        <v>268</v>
      </c>
      <c r="AJ51" s="387"/>
      <c r="AM51" s="54"/>
      <c r="AN51" s="142"/>
      <c r="AO51" s="142"/>
      <c r="AP51" s="142"/>
      <c r="AQ51" s="142"/>
      <c r="AR51" s="142"/>
      <c r="AS51" s="142"/>
    </row>
    <row r="52">
      <c r="A52" s="142"/>
      <c r="B52" s="391" t="s">
        <v>269</v>
      </c>
      <c r="F52" s="387"/>
      <c r="M52" s="403"/>
      <c r="N52" s="387"/>
      <c r="O52" s="391" t="s">
        <v>269</v>
      </c>
      <c r="S52" s="387"/>
      <c r="Z52" s="403"/>
      <c r="AA52" s="387"/>
      <c r="AB52" s="391" t="s">
        <v>269</v>
      </c>
      <c r="AF52" s="387"/>
      <c r="AM52" s="403"/>
      <c r="AN52" s="142"/>
      <c r="AO52" s="142"/>
      <c r="AP52" s="142"/>
      <c r="AQ52" s="142"/>
      <c r="AR52" s="142"/>
      <c r="AS52" s="142"/>
    </row>
    <row r="53">
      <c r="A53" s="142"/>
      <c r="B53" s="391" t="s">
        <v>270</v>
      </c>
      <c r="E53" s="387"/>
      <c r="M53" s="392"/>
      <c r="N53" s="387"/>
      <c r="O53" s="391" t="s">
        <v>270</v>
      </c>
      <c r="R53" s="387"/>
      <c r="Z53" s="392"/>
      <c r="AA53" s="387"/>
      <c r="AB53" s="391" t="s">
        <v>270</v>
      </c>
      <c r="AE53" s="387"/>
      <c r="AM53" s="392"/>
      <c r="AN53" s="142"/>
      <c r="AO53" s="142"/>
      <c r="AP53" s="142"/>
      <c r="AQ53" s="142"/>
      <c r="AR53" s="142"/>
      <c r="AS53" s="142"/>
    </row>
    <row r="54">
      <c r="A54" s="142"/>
      <c r="B54" s="391" t="s">
        <v>182</v>
      </c>
      <c r="E54" s="387"/>
      <c r="M54" s="395"/>
      <c r="N54" s="387"/>
      <c r="O54" s="391" t="s">
        <v>182</v>
      </c>
      <c r="R54" s="387"/>
      <c r="Z54" s="395"/>
      <c r="AA54" s="387"/>
      <c r="AB54" s="391" t="s">
        <v>182</v>
      </c>
      <c r="AE54" s="387"/>
      <c r="AM54" s="395"/>
      <c r="AN54" s="142"/>
      <c r="AO54" s="142"/>
      <c r="AP54" s="142"/>
      <c r="AQ54" s="142"/>
      <c r="AR54" s="142"/>
      <c r="AS54" s="142"/>
    </row>
    <row r="55">
      <c r="A55" s="142"/>
      <c r="B55" s="391" t="s">
        <v>271</v>
      </c>
      <c r="F55" s="387"/>
      <c r="M55" s="392"/>
      <c r="N55" s="387"/>
      <c r="O55" s="391" t="s">
        <v>271</v>
      </c>
      <c r="S55" s="387"/>
      <c r="Z55" s="392"/>
      <c r="AA55" s="387"/>
      <c r="AB55" s="391" t="s">
        <v>271</v>
      </c>
      <c r="AF55" s="387"/>
      <c r="AM55" s="392"/>
      <c r="AN55" s="142"/>
      <c r="AO55" s="142"/>
      <c r="AP55" s="142"/>
      <c r="AQ55" s="142"/>
      <c r="AR55" s="142"/>
      <c r="AS55" s="142"/>
    </row>
    <row r="56">
      <c r="A56" s="142"/>
      <c r="B56" s="391" t="s">
        <v>272</v>
      </c>
      <c r="F56" s="387"/>
      <c r="M56" s="395"/>
      <c r="N56" s="387"/>
      <c r="O56" s="391" t="s">
        <v>272</v>
      </c>
      <c r="S56" s="387"/>
      <c r="Z56" s="395"/>
      <c r="AA56" s="387"/>
      <c r="AB56" s="391" t="s">
        <v>272</v>
      </c>
      <c r="AF56" s="387"/>
      <c r="AM56" s="395"/>
      <c r="AN56" s="142"/>
      <c r="AO56" s="142"/>
      <c r="AP56" s="142"/>
      <c r="AQ56" s="142"/>
      <c r="AR56" s="142"/>
      <c r="AS56" s="142"/>
    </row>
    <row r="57">
      <c r="A57" s="142"/>
      <c r="B57" s="397"/>
      <c r="M57" s="392"/>
      <c r="N57" s="387"/>
      <c r="O57" s="397"/>
      <c r="Z57" s="392"/>
      <c r="AA57" s="387"/>
      <c r="AB57" s="397"/>
      <c r="AM57" s="392"/>
      <c r="AN57" s="142"/>
      <c r="AO57" s="142"/>
      <c r="AP57" s="142"/>
      <c r="AQ57" s="142"/>
      <c r="AR57" s="142"/>
      <c r="AS57" s="142"/>
    </row>
    <row r="58">
      <c r="A58" s="142"/>
      <c r="B58" s="398" t="s">
        <v>273</v>
      </c>
      <c r="M58" s="395"/>
      <c r="N58" s="387"/>
      <c r="O58" s="398" t="s">
        <v>273</v>
      </c>
      <c r="Z58" s="395"/>
      <c r="AA58" s="387"/>
      <c r="AB58" s="398" t="s">
        <v>273</v>
      </c>
      <c r="AM58" s="395"/>
      <c r="AN58" s="142"/>
      <c r="AO58" s="142"/>
      <c r="AP58" s="142"/>
      <c r="AQ58" s="142"/>
      <c r="AR58" s="142"/>
      <c r="AS58" s="142"/>
    </row>
    <row r="59">
      <c r="A59" s="142"/>
      <c r="B59" s="399"/>
      <c r="C59" s="410"/>
      <c r="D59" s="410"/>
      <c r="E59" s="410"/>
      <c r="F59" s="410"/>
      <c r="G59" s="410"/>
      <c r="H59" s="410"/>
      <c r="I59" s="410"/>
      <c r="J59" s="410"/>
      <c r="K59" s="410"/>
      <c r="L59" s="410"/>
      <c r="M59" s="411"/>
      <c r="N59" s="387"/>
      <c r="O59" s="399"/>
      <c r="P59" s="410"/>
      <c r="Q59" s="410"/>
      <c r="R59" s="410"/>
      <c r="S59" s="410"/>
      <c r="T59" s="410"/>
      <c r="U59" s="410"/>
      <c r="V59" s="410"/>
      <c r="W59" s="410"/>
      <c r="X59" s="410"/>
      <c r="Y59" s="410"/>
      <c r="Z59" s="411"/>
      <c r="AA59" s="387"/>
      <c r="AB59" s="399"/>
      <c r="AC59" s="410"/>
      <c r="AD59" s="410"/>
      <c r="AE59" s="410"/>
      <c r="AF59" s="410"/>
      <c r="AG59" s="410"/>
      <c r="AH59" s="410"/>
      <c r="AI59" s="410"/>
      <c r="AJ59" s="410"/>
      <c r="AK59" s="410"/>
      <c r="AL59" s="410"/>
      <c r="AM59" s="411"/>
      <c r="AN59" s="142"/>
      <c r="AO59" s="142"/>
      <c r="AP59" s="142"/>
      <c r="AQ59" s="142"/>
      <c r="AR59" s="142"/>
      <c r="AS59" s="142"/>
    </row>
    <row r="60">
      <c r="A60" s="396"/>
      <c r="B60" s="387"/>
      <c r="C60" s="387"/>
      <c r="D60" s="387"/>
      <c r="E60" s="387"/>
      <c r="F60" s="387"/>
      <c r="G60" s="387"/>
      <c r="H60" s="387"/>
      <c r="I60" s="387"/>
      <c r="J60" s="387"/>
      <c r="K60" s="387"/>
      <c r="L60" s="387"/>
      <c r="M60" s="387"/>
      <c r="N60" s="387"/>
      <c r="O60" s="387"/>
      <c r="P60" s="387"/>
      <c r="Q60" s="387"/>
      <c r="R60" s="387"/>
      <c r="S60" s="387"/>
      <c r="T60" s="387"/>
      <c r="U60" s="387"/>
      <c r="V60" s="387"/>
      <c r="W60" s="387"/>
      <c r="X60" s="387"/>
      <c r="Y60" s="387"/>
      <c r="Z60" s="387"/>
      <c r="AA60" s="387"/>
      <c r="AB60" s="387"/>
      <c r="AC60" s="387"/>
      <c r="AD60" s="387"/>
      <c r="AE60" s="387"/>
      <c r="AF60" s="387"/>
      <c r="AG60" s="387"/>
      <c r="AH60" s="387"/>
      <c r="AI60" s="387"/>
      <c r="AJ60" s="387"/>
      <c r="AK60" s="387"/>
      <c r="AL60" s="387"/>
      <c r="AM60" s="387"/>
      <c r="AN60" s="142"/>
      <c r="AO60" s="142"/>
      <c r="AP60" s="142"/>
      <c r="AQ60" s="142"/>
      <c r="AR60" s="142"/>
      <c r="AS60" s="142"/>
    </row>
    <row r="61">
      <c r="A61" s="142"/>
      <c r="B61" s="387"/>
      <c r="N61" s="387"/>
      <c r="O61" s="387"/>
      <c r="AA61" s="387"/>
      <c r="AB61" s="387"/>
      <c r="AN61" s="142"/>
      <c r="AO61" s="142"/>
      <c r="AP61" s="142"/>
      <c r="AQ61" s="142"/>
      <c r="AR61" s="142"/>
      <c r="AS61" s="142"/>
    </row>
    <row r="62">
      <c r="A62" s="142"/>
      <c r="B62" s="412"/>
      <c r="C62" s="385"/>
      <c r="D62" s="400"/>
      <c r="E62" s="400"/>
      <c r="F62" s="400"/>
      <c r="G62" s="400"/>
      <c r="H62" s="400"/>
      <c r="I62" s="400"/>
      <c r="J62" s="400"/>
      <c r="K62" s="400"/>
      <c r="L62" s="401"/>
      <c r="M62" s="386"/>
      <c r="N62" s="387"/>
      <c r="O62" s="412"/>
      <c r="P62" s="385"/>
      <c r="Q62" s="400"/>
      <c r="R62" s="400"/>
      <c r="S62" s="400"/>
      <c r="T62" s="400"/>
      <c r="U62" s="400"/>
      <c r="V62" s="400"/>
      <c r="W62" s="400"/>
      <c r="X62" s="400"/>
      <c r="Y62" s="401"/>
      <c r="Z62" s="386"/>
      <c r="AA62" s="387"/>
      <c r="AB62" s="412"/>
      <c r="AC62" s="385"/>
      <c r="AD62" s="400"/>
      <c r="AE62" s="400"/>
      <c r="AF62" s="400"/>
      <c r="AG62" s="400"/>
      <c r="AH62" s="400"/>
      <c r="AI62" s="400"/>
      <c r="AJ62" s="400"/>
      <c r="AK62" s="400"/>
      <c r="AL62" s="401"/>
      <c r="AM62" s="386"/>
      <c r="AN62" s="142"/>
      <c r="AO62" s="142"/>
      <c r="AP62" s="142"/>
      <c r="AQ62" s="142"/>
      <c r="AR62" s="142"/>
      <c r="AS62" s="142"/>
    </row>
    <row r="63">
      <c r="A63" s="142"/>
      <c r="B63" s="391" t="s">
        <v>265</v>
      </c>
      <c r="G63" s="387"/>
      <c r="M63" s="403"/>
      <c r="N63" s="387"/>
      <c r="O63" s="391" t="s">
        <v>265</v>
      </c>
      <c r="T63" s="387"/>
      <c r="Z63" s="403"/>
      <c r="AA63" s="387"/>
      <c r="AB63" s="391" t="s">
        <v>265</v>
      </c>
      <c r="AG63" s="387"/>
      <c r="AM63" s="403"/>
      <c r="AN63" s="142"/>
      <c r="AO63" s="142"/>
      <c r="AP63" s="142"/>
      <c r="AQ63" s="142"/>
      <c r="AR63" s="142"/>
      <c r="AS63" s="142"/>
    </row>
    <row r="64">
      <c r="A64" s="142"/>
      <c r="B64" s="391" t="s">
        <v>266</v>
      </c>
      <c r="D64" s="402"/>
      <c r="H64" s="394" t="s">
        <v>268</v>
      </c>
      <c r="J64" s="387"/>
      <c r="M64" s="392"/>
      <c r="N64" s="387"/>
      <c r="O64" s="391" t="s">
        <v>266</v>
      </c>
      <c r="Q64" s="402"/>
      <c r="U64" s="394" t="s">
        <v>268</v>
      </c>
      <c r="W64" s="387"/>
      <c r="Z64" s="392"/>
      <c r="AA64" s="387"/>
      <c r="AB64" s="391" t="s">
        <v>266</v>
      </c>
      <c r="AD64" s="402"/>
      <c r="AH64" s="394" t="s">
        <v>268</v>
      </c>
      <c r="AJ64" s="387"/>
      <c r="AM64" s="392"/>
      <c r="AN64" s="142"/>
      <c r="AO64" s="142"/>
      <c r="AP64" s="142"/>
      <c r="AQ64" s="142"/>
      <c r="AR64" s="142"/>
      <c r="AS64" s="142"/>
    </row>
    <row r="65">
      <c r="A65" s="142"/>
      <c r="B65" s="391" t="s">
        <v>269</v>
      </c>
      <c r="F65" s="387"/>
      <c r="M65" s="395"/>
      <c r="N65" s="387"/>
      <c r="O65" s="391" t="s">
        <v>269</v>
      </c>
      <c r="S65" s="387"/>
      <c r="Z65" s="395"/>
      <c r="AA65" s="387"/>
      <c r="AB65" s="391" t="s">
        <v>269</v>
      </c>
      <c r="AF65" s="387"/>
      <c r="AM65" s="395"/>
      <c r="AN65" s="142"/>
      <c r="AO65" s="142"/>
      <c r="AP65" s="142"/>
      <c r="AQ65" s="142"/>
      <c r="AR65" s="142"/>
      <c r="AS65" s="142"/>
    </row>
    <row r="66">
      <c r="A66" s="142"/>
      <c r="B66" s="391" t="s">
        <v>270</v>
      </c>
      <c r="E66" s="387"/>
      <c r="M66" s="392"/>
      <c r="N66" s="387"/>
      <c r="O66" s="391" t="s">
        <v>270</v>
      </c>
      <c r="R66" s="387"/>
      <c r="Z66" s="392"/>
      <c r="AA66" s="387"/>
      <c r="AB66" s="391" t="s">
        <v>270</v>
      </c>
      <c r="AE66" s="387"/>
      <c r="AM66" s="392"/>
      <c r="AN66" s="142"/>
      <c r="AO66" s="142"/>
      <c r="AP66" s="142"/>
      <c r="AQ66" s="142"/>
      <c r="AR66" s="142"/>
      <c r="AS66" s="142"/>
    </row>
    <row r="67">
      <c r="A67" s="142"/>
      <c r="B67" s="391" t="s">
        <v>182</v>
      </c>
      <c r="E67" s="387"/>
      <c r="M67" s="395"/>
      <c r="N67" s="387"/>
      <c r="O67" s="391" t="s">
        <v>182</v>
      </c>
      <c r="R67" s="387"/>
      <c r="Z67" s="395"/>
      <c r="AA67" s="387"/>
      <c r="AB67" s="391" t="s">
        <v>182</v>
      </c>
      <c r="AE67" s="387"/>
      <c r="AM67" s="395"/>
      <c r="AN67" s="142"/>
      <c r="AO67" s="142"/>
      <c r="AP67" s="142"/>
      <c r="AQ67" s="142"/>
      <c r="AR67" s="142"/>
      <c r="AS67" s="142"/>
    </row>
    <row r="68">
      <c r="A68" s="142"/>
      <c r="B68" s="391" t="s">
        <v>271</v>
      </c>
      <c r="F68" s="387"/>
      <c r="M68" s="392"/>
      <c r="N68" s="387"/>
      <c r="O68" s="391" t="s">
        <v>271</v>
      </c>
      <c r="S68" s="387"/>
      <c r="Z68" s="392"/>
      <c r="AA68" s="387"/>
      <c r="AB68" s="391" t="s">
        <v>271</v>
      </c>
      <c r="AF68" s="387"/>
      <c r="AM68" s="392"/>
      <c r="AN68" s="142"/>
      <c r="AO68" s="142"/>
      <c r="AP68" s="142"/>
      <c r="AQ68" s="142"/>
      <c r="AR68" s="142"/>
      <c r="AS68" s="142"/>
    </row>
    <row r="69">
      <c r="A69" s="142"/>
      <c r="B69" s="391" t="s">
        <v>272</v>
      </c>
      <c r="F69" s="387"/>
      <c r="M69" s="395"/>
      <c r="N69" s="387"/>
      <c r="O69" s="391" t="s">
        <v>272</v>
      </c>
      <c r="S69" s="387"/>
      <c r="Z69" s="395"/>
      <c r="AA69" s="387"/>
      <c r="AB69" s="391" t="s">
        <v>272</v>
      </c>
      <c r="AF69" s="387"/>
      <c r="AM69" s="395"/>
      <c r="AN69" s="142"/>
      <c r="AO69" s="142"/>
      <c r="AP69" s="142"/>
      <c r="AQ69" s="142"/>
      <c r="AR69" s="142"/>
      <c r="AS69" s="142"/>
    </row>
    <row r="70">
      <c r="A70" s="142"/>
      <c r="B70" s="397"/>
      <c r="M70" s="392"/>
      <c r="N70" s="387"/>
      <c r="O70" s="397"/>
      <c r="Z70" s="392"/>
      <c r="AA70" s="387"/>
      <c r="AB70" s="397"/>
      <c r="AM70" s="392"/>
      <c r="AN70" s="142"/>
      <c r="AO70" s="142"/>
      <c r="AP70" s="142"/>
      <c r="AQ70" s="142"/>
      <c r="AR70" s="142"/>
      <c r="AS70" s="142"/>
    </row>
    <row r="71">
      <c r="A71" s="396"/>
      <c r="B71" s="398" t="s">
        <v>273</v>
      </c>
      <c r="M71" s="395"/>
      <c r="N71" s="387"/>
      <c r="O71" s="398" t="s">
        <v>273</v>
      </c>
      <c r="Z71" s="395"/>
      <c r="AA71" s="387"/>
      <c r="AB71" s="398" t="s">
        <v>273</v>
      </c>
      <c r="AM71" s="395"/>
      <c r="AN71" s="142"/>
      <c r="AO71" s="142"/>
      <c r="AP71" s="142"/>
      <c r="AQ71" s="142"/>
      <c r="AR71" s="142"/>
      <c r="AS71" s="142"/>
    </row>
    <row r="72">
      <c r="A72" s="142"/>
      <c r="B72" s="399"/>
      <c r="C72" s="410"/>
      <c r="D72" s="410"/>
      <c r="E72" s="410"/>
      <c r="F72" s="410"/>
      <c r="G72" s="410"/>
      <c r="H72" s="410"/>
      <c r="I72" s="410"/>
      <c r="J72" s="410"/>
      <c r="K72" s="410"/>
      <c r="L72" s="410"/>
      <c r="M72" s="411"/>
      <c r="N72" s="387"/>
      <c r="O72" s="399"/>
      <c r="P72" s="410"/>
      <c r="Q72" s="410"/>
      <c r="R72" s="410"/>
      <c r="S72" s="410"/>
      <c r="T72" s="410"/>
      <c r="U72" s="410"/>
      <c r="V72" s="410"/>
      <c r="W72" s="410"/>
      <c r="X72" s="410"/>
      <c r="Y72" s="410"/>
      <c r="Z72" s="411"/>
      <c r="AA72" s="387"/>
      <c r="AB72" s="399"/>
      <c r="AC72" s="410"/>
      <c r="AD72" s="410"/>
      <c r="AE72" s="410"/>
      <c r="AF72" s="410"/>
      <c r="AG72" s="410"/>
      <c r="AH72" s="410"/>
      <c r="AI72" s="410"/>
      <c r="AJ72" s="410"/>
      <c r="AK72" s="410"/>
      <c r="AL72" s="410"/>
      <c r="AM72" s="411"/>
      <c r="AN72" s="142"/>
      <c r="AO72" s="142"/>
      <c r="AP72" s="142"/>
      <c r="AQ72" s="142"/>
      <c r="AR72" s="142"/>
      <c r="AS72" s="142"/>
    </row>
    <row r="73">
      <c r="A73" s="396"/>
      <c r="B73" s="142"/>
      <c r="C73" s="142"/>
      <c r="D73" s="142"/>
      <c r="E73" s="142"/>
      <c r="F73" s="142"/>
      <c r="G73" s="142"/>
      <c r="H73" s="142"/>
      <c r="I73" s="142"/>
      <c r="J73" s="142"/>
      <c r="K73" s="142"/>
      <c r="L73" s="142"/>
      <c r="M73" s="142"/>
      <c r="N73" s="396"/>
      <c r="O73" s="142"/>
      <c r="P73" s="142"/>
      <c r="Q73" s="142"/>
      <c r="R73" s="142"/>
      <c r="S73" s="142"/>
      <c r="T73" s="142"/>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row>
    <row r="74">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row>
    <row r="75">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row>
    <row r="76">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c r="AA76" s="142"/>
      <c r="AB76" s="142"/>
      <c r="AC76" s="142"/>
      <c r="AD76" s="142"/>
      <c r="AE76" s="142"/>
      <c r="AF76" s="142"/>
      <c r="AG76" s="142"/>
      <c r="AH76" s="142"/>
      <c r="AI76" s="142"/>
      <c r="AJ76" s="142"/>
      <c r="AK76" s="142"/>
      <c r="AL76" s="142"/>
      <c r="AM76" s="142"/>
      <c r="AN76" s="142"/>
      <c r="AO76" s="142"/>
      <c r="AP76" s="142"/>
      <c r="AQ76" s="142"/>
      <c r="AR76" s="142"/>
      <c r="AS76" s="142"/>
    </row>
    <row r="77">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row>
    <row r="78">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row>
    <row r="79">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row>
    <row r="80">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row>
    <row r="8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row>
    <row r="8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row>
    <row r="83">
      <c r="A83" s="396"/>
      <c r="B83" s="142"/>
      <c r="C83" s="142"/>
      <c r="D83" s="142"/>
      <c r="E83" s="142"/>
      <c r="F83" s="142"/>
      <c r="G83" s="142"/>
      <c r="H83" s="142"/>
      <c r="I83" s="142"/>
      <c r="J83" s="142"/>
      <c r="K83" s="142"/>
      <c r="L83" s="142"/>
      <c r="M83" s="142"/>
      <c r="N83" s="396"/>
      <c r="O83" s="142"/>
      <c r="P83" s="142"/>
      <c r="Q83" s="142"/>
      <c r="R83" s="142"/>
      <c r="S83" s="142"/>
      <c r="T83" s="142"/>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row>
    <row r="84">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row>
    <row r="85">
      <c r="A85" s="396"/>
      <c r="B85" s="142"/>
      <c r="C85" s="142"/>
      <c r="D85" s="142"/>
      <c r="E85" s="142"/>
      <c r="F85" s="142"/>
      <c r="G85" s="142"/>
      <c r="H85" s="142"/>
      <c r="I85" s="142"/>
      <c r="J85" s="142"/>
      <c r="K85" s="142"/>
      <c r="L85" s="142"/>
      <c r="M85" s="142"/>
      <c r="N85" s="396"/>
      <c r="O85" s="142"/>
      <c r="P85" s="142"/>
      <c r="Q85" s="142"/>
      <c r="R85" s="142"/>
      <c r="S85" s="142"/>
      <c r="T85" s="142"/>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row>
    <row r="86">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row>
    <row r="87">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row>
    <row r="88">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row>
    <row r="89">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row>
    <row r="90">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row>
    <row r="9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row>
    <row r="92">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row>
    <row r="93">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row>
    <row r="94">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row>
    <row r="95">
      <c r="A95" s="396"/>
      <c r="B95" s="142"/>
      <c r="C95" s="142"/>
      <c r="D95" s="142"/>
      <c r="E95" s="142"/>
      <c r="F95" s="142"/>
      <c r="G95" s="142"/>
      <c r="H95" s="142"/>
      <c r="I95" s="142"/>
      <c r="J95" s="142"/>
      <c r="K95" s="142"/>
      <c r="L95" s="142"/>
      <c r="M95" s="142"/>
      <c r="N95" s="396"/>
      <c r="O95" s="142"/>
      <c r="P95" s="142"/>
      <c r="Q95" s="142"/>
      <c r="R95" s="142"/>
      <c r="S95" s="142"/>
      <c r="T95" s="142"/>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row>
    <row r="96">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c r="AA96" s="142"/>
      <c r="AB96" s="142"/>
      <c r="AC96" s="142"/>
      <c r="AD96" s="142"/>
      <c r="AE96" s="142"/>
      <c r="AF96" s="142"/>
      <c r="AG96" s="142"/>
      <c r="AH96" s="142"/>
      <c r="AI96" s="142"/>
      <c r="AJ96" s="142"/>
      <c r="AK96" s="142"/>
      <c r="AL96" s="142"/>
      <c r="AM96" s="142"/>
      <c r="AN96" s="142"/>
      <c r="AO96" s="142"/>
      <c r="AP96" s="142"/>
      <c r="AQ96" s="142"/>
      <c r="AR96" s="142"/>
      <c r="AS96" s="142"/>
    </row>
    <row r="97">
      <c r="A97" s="396"/>
      <c r="B97" s="142"/>
      <c r="C97" s="142"/>
      <c r="D97" s="142"/>
      <c r="E97" s="142"/>
      <c r="F97" s="142"/>
      <c r="G97" s="142"/>
      <c r="H97" s="142"/>
      <c r="I97" s="142"/>
      <c r="J97" s="142"/>
      <c r="K97" s="142"/>
      <c r="L97" s="142"/>
      <c r="M97" s="142"/>
      <c r="N97" s="396"/>
      <c r="O97" s="142"/>
      <c r="P97" s="142"/>
      <c r="Q97" s="142"/>
      <c r="R97" s="142"/>
      <c r="S97" s="142"/>
      <c r="T97" s="142"/>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row>
  </sheetData>
  <mergeCells count="359">
    <mergeCell ref="K2:P2"/>
    <mergeCell ref="K3:P3"/>
    <mergeCell ref="S3:T4"/>
    <mergeCell ref="U3:V4"/>
    <mergeCell ref="AA3:AB4"/>
    <mergeCell ref="AE3:AF4"/>
    <mergeCell ref="AL2:AN2"/>
    <mergeCell ref="AL3:AN3"/>
    <mergeCell ref="D4:G4"/>
    <mergeCell ref="K4:P4"/>
    <mergeCell ref="Y5:AB5"/>
    <mergeCell ref="AE5:AH5"/>
    <mergeCell ref="AL5:AN5"/>
    <mergeCell ref="AP5:AR5"/>
    <mergeCell ref="D7:G7"/>
    <mergeCell ref="C8:G8"/>
    <mergeCell ref="C10:L10"/>
    <mergeCell ref="P10:Y10"/>
    <mergeCell ref="G11:M11"/>
    <mergeCell ref="O11:S11"/>
    <mergeCell ref="T11:Z11"/>
    <mergeCell ref="B11:F11"/>
    <mergeCell ref="B12:C12"/>
    <mergeCell ref="D12:G12"/>
    <mergeCell ref="H12:I12"/>
    <mergeCell ref="J12:M12"/>
    <mergeCell ref="O12:P12"/>
    <mergeCell ref="Q12:T12"/>
    <mergeCell ref="B13:E13"/>
    <mergeCell ref="F13:M13"/>
    <mergeCell ref="O13:R13"/>
    <mergeCell ref="S13:Z13"/>
    <mergeCell ref="E14:M14"/>
    <mergeCell ref="O14:Q14"/>
    <mergeCell ref="R14:Z14"/>
    <mergeCell ref="B14:D14"/>
    <mergeCell ref="B15:D15"/>
    <mergeCell ref="E15:M15"/>
    <mergeCell ref="O15:Q15"/>
    <mergeCell ref="R15:Z15"/>
    <mergeCell ref="B16:E16"/>
    <mergeCell ref="F16:M16"/>
    <mergeCell ref="AB16:AE16"/>
    <mergeCell ref="AP3:AR3"/>
    <mergeCell ref="AL4:AN4"/>
    <mergeCell ref="AP4:AR4"/>
    <mergeCell ref="Y6:AB6"/>
    <mergeCell ref="AE6:AH6"/>
    <mergeCell ref="AL6:AN6"/>
    <mergeCell ref="AP6:AR6"/>
    <mergeCell ref="AL7:AN7"/>
    <mergeCell ref="AP7:AR7"/>
    <mergeCell ref="AK8:AR8"/>
    <mergeCell ref="Y2:AB2"/>
    <mergeCell ref="AC2:AD7"/>
    <mergeCell ref="AE2:AH2"/>
    <mergeCell ref="AI2:AI7"/>
    <mergeCell ref="AP2:AR2"/>
    <mergeCell ref="Y3:Z4"/>
    <mergeCell ref="AG3:AH4"/>
    <mergeCell ref="AH12:AI12"/>
    <mergeCell ref="AJ12:AM12"/>
    <mergeCell ref="Y7:AA7"/>
    <mergeCell ref="AE7:AG7"/>
    <mergeCell ref="AC10:AL10"/>
    <mergeCell ref="AB11:AF11"/>
    <mergeCell ref="AG11:AM11"/>
    <mergeCell ref="AB12:AC12"/>
    <mergeCell ref="AD12:AG12"/>
    <mergeCell ref="B18:M18"/>
    <mergeCell ref="B19:M19"/>
    <mergeCell ref="B20:M20"/>
    <mergeCell ref="O16:R16"/>
    <mergeCell ref="S16:Z16"/>
    <mergeCell ref="B17:E17"/>
    <mergeCell ref="F17:M17"/>
    <mergeCell ref="O17:R17"/>
    <mergeCell ref="S17:Z17"/>
    <mergeCell ref="O18:Z18"/>
    <mergeCell ref="Q25:T25"/>
    <mergeCell ref="U25:V25"/>
    <mergeCell ref="B26:E26"/>
    <mergeCell ref="F26:M26"/>
    <mergeCell ref="O26:R26"/>
    <mergeCell ref="S26:Z26"/>
    <mergeCell ref="B27:D27"/>
    <mergeCell ref="R27:Z27"/>
    <mergeCell ref="E27:M27"/>
    <mergeCell ref="O27:Q27"/>
    <mergeCell ref="B28:D28"/>
    <mergeCell ref="E28:M28"/>
    <mergeCell ref="O28:Q28"/>
    <mergeCell ref="R28:Z28"/>
    <mergeCell ref="B29:E29"/>
    <mergeCell ref="AB39:AE39"/>
    <mergeCell ref="AF39:AM39"/>
    <mergeCell ref="AB40:AD40"/>
    <mergeCell ref="AE40:AM40"/>
    <mergeCell ref="AB41:AD41"/>
    <mergeCell ref="AE41:AM41"/>
    <mergeCell ref="AF42:AM42"/>
    <mergeCell ref="AF43:AM43"/>
    <mergeCell ref="AB44:AM44"/>
    <mergeCell ref="AB45:AM45"/>
    <mergeCell ref="AB46:AM46"/>
    <mergeCell ref="AB48:AM48"/>
    <mergeCell ref="AC49:AL49"/>
    <mergeCell ref="AG50:AM50"/>
    <mergeCell ref="AB50:AF50"/>
    <mergeCell ref="AB51:AC51"/>
    <mergeCell ref="AD51:AG51"/>
    <mergeCell ref="AH51:AI51"/>
    <mergeCell ref="AJ51:AM51"/>
    <mergeCell ref="AB52:AE52"/>
    <mergeCell ref="AF52:AM52"/>
    <mergeCell ref="AB53:AD53"/>
    <mergeCell ref="AE53:AM53"/>
    <mergeCell ref="AB54:AD54"/>
    <mergeCell ref="AE54:AM54"/>
    <mergeCell ref="AB55:AE55"/>
    <mergeCell ref="AF55:AM55"/>
    <mergeCell ref="AB56:AE56"/>
    <mergeCell ref="AF56:AM56"/>
    <mergeCell ref="AB57:AM57"/>
    <mergeCell ref="AB58:AM58"/>
    <mergeCell ref="AB59:AM59"/>
    <mergeCell ref="AB61:AM61"/>
    <mergeCell ref="AC62:AL62"/>
    <mergeCell ref="AG63:AM63"/>
    <mergeCell ref="AB63:AF63"/>
    <mergeCell ref="AB64:AC64"/>
    <mergeCell ref="AD64:AG64"/>
    <mergeCell ref="AH64:AI64"/>
    <mergeCell ref="AJ64:AM64"/>
    <mergeCell ref="AB65:AE65"/>
    <mergeCell ref="AF65:AM65"/>
    <mergeCell ref="AF69:AM69"/>
    <mergeCell ref="AB70:AM70"/>
    <mergeCell ref="AB71:AM71"/>
    <mergeCell ref="AB72:AM72"/>
    <mergeCell ref="AB66:AD66"/>
    <mergeCell ref="AE66:AM66"/>
    <mergeCell ref="AB67:AD67"/>
    <mergeCell ref="AE67:AM67"/>
    <mergeCell ref="AB68:AE68"/>
    <mergeCell ref="AF68:AM68"/>
    <mergeCell ref="AB69:AE69"/>
    <mergeCell ref="AB13:AE13"/>
    <mergeCell ref="AF13:AM13"/>
    <mergeCell ref="AB14:AD14"/>
    <mergeCell ref="AE14:AM14"/>
    <mergeCell ref="AB15:AD15"/>
    <mergeCell ref="AE15:AM15"/>
    <mergeCell ref="AF16:AM16"/>
    <mergeCell ref="AB17:AE17"/>
    <mergeCell ref="AF17:AM17"/>
    <mergeCell ref="AB18:AM18"/>
    <mergeCell ref="AB19:AM19"/>
    <mergeCell ref="AB20:AM20"/>
    <mergeCell ref="AB22:AM22"/>
    <mergeCell ref="AC23:AL23"/>
    <mergeCell ref="AB26:AE26"/>
    <mergeCell ref="AB27:AD27"/>
    <mergeCell ref="AB28:AD28"/>
    <mergeCell ref="AB29:AE29"/>
    <mergeCell ref="AB30:AE30"/>
    <mergeCell ref="AB24:AF24"/>
    <mergeCell ref="AG24:AM24"/>
    <mergeCell ref="AB25:AC25"/>
    <mergeCell ref="AD25:AG25"/>
    <mergeCell ref="AH25:AI25"/>
    <mergeCell ref="AJ25:AM25"/>
    <mergeCell ref="AF26:AM26"/>
    <mergeCell ref="AE27:AM27"/>
    <mergeCell ref="AE28:AM28"/>
    <mergeCell ref="AF29:AM29"/>
    <mergeCell ref="AF30:AM30"/>
    <mergeCell ref="AB31:AM31"/>
    <mergeCell ref="AB32:AM32"/>
    <mergeCell ref="AB33:AM33"/>
    <mergeCell ref="AC36:AL36"/>
    <mergeCell ref="AB37:AF37"/>
    <mergeCell ref="AG37:AM37"/>
    <mergeCell ref="AB38:AC38"/>
    <mergeCell ref="AD38:AG38"/>
    <mergeCell ref="AH38:AI38"/>
    <mergeCell ref="AJ38:AM38"/>
    <mergeCell ref="AB42:AE42"/>
    <mergeCell ref="AB43:AE43"/>
    <mergeCell ref="F29:M29"/>
    <mergeCell ref="O29:R29"/>
    <mergeCell ref="S29:Z29"/>
    <mergeCell ref="B30:E30"/>
    <mergeCell ref="F30:M30"/>
    <mergeCell ref="O30:R30"/>
    <mergeCell ref="S30:Z30"/>
    <mergeCell ref="B31:M31"/>
    <mergeCell ref="O31:Z31"/>
    <mergeCell ref="B32:M32"/>
    <mergeCell ref="O32:Z32"/>
    <mergeCell ref="B33:M33"/>
    <mergeCell ref="O33:Z33"/>
    <mergeCell ref="P36:Y36"/>
    <mergeCell ref="D5:G5"/>
    <mergeCell ref="K5:P5"/>
    <mergeCell ref="D3:G3"/>
    <mergeCell ref="D6:G6"/>
    <mergeCell ref="S5:V5"/>
    <mergeCell ref="S6:V6"/>
    <mergeCell ref="K6:P6"/>
    <mergeCell ref="K7:P7"/>
    <mergeCell ref="B2:B8"/>
    <mergeCell ref="D2:G2"/>
    <mergeCell ref="H2:H8"/>
    <mergeCell ref="R2:R7"/>
    <mergeCell ref="S2:V2"/>
    <mergeCell ref="W2:X7"/>
    <mergeCell ref="S7:U7"/>
    <mergeCell ref="U12:V12"/>
    <mergeCell ref="W12:Z12"/>
    <mergeCell ref="O58:Z58"/>
    <mergeCell ref="O59:Z59"/>
    <mergeCell ref="O19:Z19"/>
    <mergeCell ref="O20:Z20"/>
    <mergeCell ref="B22:M22"/>
    <mergeCell ref="O22:Z22"/>
    <mergeCell ref="C23:L23"/>
    <mergeCell ref="P23:Y23"/>
    <mergeCell ref="B24:F24"/>
    <mergeCell ref="T24:Z24"/>
    <mergeCell ref="G24:M24"/>
    <mergeCell ref="O24:S24"/>
    <mergeCell ref="B25:C25"/>
    <mergeCell ref="D25:G25"/>
    <mergeCell ref="H25:I25"/>
    <mergeCell ref="J25:M25"/>
    <mergeCell ref="O25:P25"/>
    <mergeCell ref="W25:Z25"/>
    <mergeCell ref="O38:P38"/>
    <mergeCell ref="Q38:T38"/>
    <mergeCell ref="U38:V38"/>
    <mergeCell ref="W38:Z38"/>
    <mergeCell ref="C36:L36"/>
    <mergeCell ref="B37:F37"/>
    <mergeCell ref="G37:M37"/>
    <mergeCell ref="O37:S37"/>
    <mergeCell ref="T37:Z37"/>
    <mergeCell ref="B38:C38"/>
    <mergeCell ref="D38:G38"/>
    <mergeCell ref="H38:I38"/>
    <mergeCell ref="J38:M38"/>
    <mergeCell ref="B39:E39"/>
    <mergeCell ref="F39:M39"/>
    <mergeCell ref="O39:R39"/>
    <mergeCell ref="S39:Z39"/>
    <mergeCell ref="B40:D40"/>
    <mergeCell ref="R40:Z40"/>
    <mergeCell ref="E40:M40"/>
    <mergeCell ref="O40:Q40"/>
    <mergeCell ref="B41:D41"/>
    <mergeCell ref="E41:M41"/>
    <mergeCell ref="O41:Q41"/>
    <mergeCell ref="R41:Z41"/>
    <mergeCell ref="B42:E42"/>
    <mergeCell ref="S42:Z42"/>
    <mergeCell ref="B44:M44"/>
    <mergeCell ref="B45:M45"/>
    <mergeCell ref="B46:M46"/>
    <mergeCell ref="F42:M42"/>
    <mergeCell ref="O42:R42"/>
    <mergeCell ref="B43:E43"/>
    <mergeCell ref="F43:M43"/>
    <mergeCell ref="O43:R43"/>
    <mergeCell ref="S43:Z43"/>
    <mergeCell ref="O44:Z44"/>
    <mergeCell ref="O45:Z45"/>
    <mergeCell ref="O46:Z46"/>
    <mergeCell ref="B48:M48"/>
    <mergeCell ref="O48:Z48"/>
    <mergeCell ref="C49:L49"/>
    <mergeCell ref="P49:Y49"/>
    <mergeCell ref="B50:F50"/>
    <mergeCell ref="T50:Z50"/>
    <mergeCell ref="G50:M50"/>
    <mergeCell ref="O50:S50"/>
    <mergeCell ref="B51:C51"/>
    <mergeCell ref="D51:G51"/>
    <mergeCell ref="H51:I51"/>
    <mergeCell ref="J51:M51"/>
    <mergeCell ref="O51:P51"/>
    <mergeCell ref="W51:Z51"/>
    <mergeCell ref="Q51:T51"/>
    <mergeCell ref="U51:V51"/>
    <mergeCell ref="B52:E52"/>
    <mergeCell ref="F52:M52"/>
    <mergeCell ref="O52:R52"/>
    <mergeCell ref="S52:Z52"/>
    <mergeCell ref="B53:D53"/>
    <mergeCell ref="R53:Z53"/>
    <mergeCell ref="E53:M53"/>
    <mergeCell ref="O53:Q53"/>
    <mergeCell ref="B54:D54"/>
    <mergeCell ref="E54:M54"/>
    <mergeCell ref="O54:Q54"/>
    <mergeCell ref="R54:Z54"/>
    <mergeCell ref="B55:E55"/>
    <mergeCell ref="S55:Z55"/>
    <mergeCell ref="B70:M70"/>
    <mergeCell ref="B71:M71"/>
    <mergeCell ref="B72:M72"/>
    <mergeCell ref="O71:Z71"/>
    <mergeCell ref="O72:Z72"/>
    <mergeCell ref="F68:M68"/>
    <mergeCell ref="O68:R68"/>
    <mergeCell ref="S68:Z68"/>
    <mergeCell ref="F69:M69"/>
    <mergeCell ref="O69:R69"/>
    <mergeCell ref="S69:Z69"/>
    <mergeCell ref="O70:Z70"/>
    <mergeCell ref="F55:M55"/>
    <mergeCell ref="O55:R55"/>
    <mergeCell ref="B56:E56"/>
    <mergeCell ref="F56:M56"/>
    <mergeCell ref="O56:R56"/>
    <mergeCell ref="S56:Z56"/>
    <mergeCell ref="O57:Z57"/>
    <mergeCell ref="B57:M57"/>
    <mergeCell ref="B58:M58"/>
    <mergeCell ref="B59:M59"/>
    <mergeCell ref="B61:M61"/>
    <mergeCell ref="O61:Z61"/>
    <mergeCell ref="C62:L62"/>
    <mergeCell ref="P62:Y62"/>
    <mergeCell ref="Q64:T64"/>
    <mergeCell ref="U64:V64"/>
    <mergeCell ref="S65:Z65"/>
    <mergeCell ref="R66:Z66"/>
    <mergeCell ref="R67:Z67"/>
    <mergeCell ref="B63:F63"/>
    <mergeCell ref="G63:M63"/>
    <mergeCell ref="O63:S63"/>
    <mergeCell ref="T63:Z63"/>
    <mergeCell ref="B64:C64"/>
    <mergeCell ref="D64:G64"/>
    <mergeCell ref="H64:I64"/>
    <mergeCell ref="W64:Z64"/>
    <mergeCell ref="B66:D66"/>
    <mergeCell ref="B67:D67"/>
    <mergeCell ref="B68:E68"/>
    <mergeCell ref="B69:E69"/>
    <mergeCell ref="O66:Q66"/>
    <mergeCell ref="O67:Q67"/>
    <mergeCell ref="J64:M64"/>
    <mergeCell ref="O64:P64"/>
    <mergeCell ref="B65:E65"/>
    <mergeCell ref="F65:M65"/>
    <mergeCell ref="O65:R65"/>
    <mergeCell ref="E66:M66"/>
    <mergeCell ref="E67:M67"/>
  </mergeCells>
  <dataValidations>
    <dataValidation type="list" allowBlank="1" showErrorMessage="1" sqref="D12 Q12 AD12 D25 Q25 AD25 D38 Q38 AD38 D51 Q51 AD51 D64 Q64 AD64">
      <formula1>"Rank E,Rank D,Rank C,Rank B,Rank A,Rank S"</formula1>
    </dataValidation>
    <dataValidation type="list" allowBlank="1" showErrorMessage="1" sqref="S7 Y7 AE7">
      <formula1>"For,Des,Con,Int,Sab,Car"</formula1>
    </dataValidation>
    <dataValidation type="list" allowBlank="1" showErrorMessage="1" sqref="G11 T11 AG11 G24 T24 AG24 G37 T37 AG37 G50 T50 AG50 G63 T63 AG63">
      <formula1>"Bukijutsu,Genjutsu,Hijutsu,Ninjutsu,Taijutsu"</formula1>
    </dataValidation>
  </dataValidations>
  <drawing r:id="rId2"/>
  <legacyDrawing r:id="rId3"/>
  <tableParts count="6">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40" width="3.25"/>
  </cols>
  <sheetData>
    <row r="1">
      <c r="A1" s="24"/>
      <c r="B1" s="24"/>
      <c r="C1" s="24"/>
      <c r="D1" s="24"/>
      <c r="E1" s="24"/>
      <c r="F1" s="24"/>
      <c r="G1" s="24"/>
      <c r="H1" s="24"/>
      <c r="I1" s="24"/>
      <c r="J1" s="24"/>
      <c r="K1" s="24"/>
      <c r="L1" s="24"/>
      <c r="M1" s="24"/>
      <c r="N1" s="24"/>
      <c r="O1" s="24"/>
      <c r="P1" s="24"/>
      <c r="Q1" s="3"/>
      <c r="R1" s="3"/>
      <c r="S1" s="3"/>
      <c r="T1" s="3"/>
      <c r="U1" s="3"/>
      <c r="V1" s="3"/>
      <c r="W1" s="3"/>
      <c r="X1" s="3"/>
      <c r="Y1" s="3"/>
      <c r="Z1" s="3"/>
      <c r="AA1" s="3"/>
      <c r="AB1" s="3"/>
      <c r="AC1" s="3"/>
      <c r="AD1" s="3"/>
      <c r="AE1" s="3"/>
      <c r="AF1" s="3"/>
      <c r="AG1" s="3"/>
      <c r="AH1" s="3"/>
      <c r="AI1" s="24"/>
      <c r="AJ1" s="24"/>
      <c r="AK1" s="24"/>
      <c r="AL1" s="24"/>
      <c r="AM1" s="24"/>
      <c r="AN1" s="24"/>
    </row>
    <row r="2">
      <c r="A2" s="24"/>
      <c r="B2" s="413" t="s">
        <v>2</v>
      </c>
      <c r="C2" s="7"/>
      <c r="D2" s="5"/>
      <c r="E2" s="254" t="str">
        <f>Ficha!M2</f>
        <v>Ninja Batedor</v>
      </c>
      <c r="F2" s="7"/>
      <c r="G2" s="7"/>
      <c r="H2" s="7"/>
      <c r="I2" s="7"/>
      <c r="J2" s="7"/>
      <c r="K2" s="7"/>
      <c r="L2" s="7"/>
      <c r="M2" s="7"/>
      <c r="N2" s="5"/>
      <c r="O2" s="24"/>
      <c r="P2" s="413" t="s">
        <v>274</v>
      </c>
      <c r="Q2" s="7"/>
      <c r="R2" s="7"/>
      <c r="S2" s="7"/>
      <c r="T2" s="5"/>
      <c r="U2" s="414"/>
      <c r="V2" s="12"/>
      <c r="W2" s="24"/>
      <c r="X2" s="24"/>
      <c r="Y2" s="24"/>
      <c r="Z2" s="24"/>
      <c r="AA2" s="24"/>
      <c r="AB2" s="24"/>
      <c r="AC2" s="24"/>
      <c r="AD2" s="24"/>
      <c r="AE2" s="24"/>
      <c r="AF2" s="24"/>
      <c r="AG2" s="24"/>
      <c r="AH2" s="24"/>
      <c r="AI2" s="24"/>
      <c r="AJ2" s="24"/>
      <c r="AK2" s="3"/>
      <c r="AL2" s="3"/>
      <c r="AM2" s="3"/>
      <c r="AN2" s="3"/>
    </row>
    <row r="3">
      <c r="A3" s="24"/>
      <c r="B3" s="413" t="s">
        <v>10</v>
      </c>
      <c r="C3" s="7"/>
      <c r="D3" s="5"/>
      <c r="E3" s="254" t="str">
        <f>Ficha!M4</f>
        <v/>
      </c>
      <c r="F3" s="7"/>
      <c r="G3" s="7"/>
      <c r="H3" s="7"/>
      <c r="I3" s="7"/>
      <c r="J3" s="7"/>
      <c r="K3" s="7"/>
      <c r="L3" s="7"/>
      <c r="M3" s="7"/>
      <c r="N3" s="5"/>
      <c r="O3" s="24"/>
      <c r="P3" s="254"/>
      <c r="Q3" s="7"/>
      <c r="R3" s="7"/>
      <c r="S3" s="7"/>
      <c r="T3" s="5"/>
      <c r="U3" s="21"/>
      <c r="V3" s="22"/>
      <c r="W3" s="24"/>
      <c r="X3" s="24"/>
      <c r="Y3" s="24"/>
      <c r="Z3" s="24"/>
      <c r="AA3" s="24"/>
      <c r="AB3" s="24"/>
      <c r="AC3" s="24"/>
      <c r="AD3" s="24"/>
      <c r="AE3" s="24"/>
      <c r="AF3" s="24"/>
      <c r="AG3" s="24"/>
      <c r="AH3" s="24"/>
      <c r="AI3" s="24"/>
      <c r="AJ3" s="24"/>
      <c r="AK3" s="3"/>
      <c r="AL3" s="3"/>
      <c r="AM3" s="3"/>
      <c r="AN3" s="3"/>
    </row>
    <row r="4">
      <c r="A4" s="24"/>
      <c r="B4" s="413" t="s">
        <v>275</v>
      </c>
      <c r="C4" s="7"/>
      <c r="D4" s="5"/>
      <c r="E4" s="254" t="str">
        <f>Ficha!M6</f>
        <v/>
      </c>
      <c r="F4" s="7"/>
      <c r="G4" s="7"/>
      <c r="H4" s="7"/>
      <c r="I4" s="7"/>
      <c r="J4" s="7"/>
      <c r="K4" s="7"/>
      <c r="L4" s="7"/>
      <c r="M4" s="7"/>
      <c r="N4" s="5"/>
      <c r="O4" s="24"/>
      <c r="P4" s="413" t="s">
        <v>276</v>
      </c>
      <c r="Q4" s="7"/>
      <c r="R4" s="7"/>
      <c r="S4" s="7"/>
      <c r="T4" s="5"/>
      <c r="U4" s="414"/>
      <c r="V4" s="12"/>
      <c r="W4" s="24"/>
      <c r="X4" s="24"/>
      <c r="Y4" s="24"/>
      <c r="Z4" s="24"/>
      <c r="AA4" s="24"/>
      <c r="AB4" s="24"/>
      <c r="AC4" s="24"/>
      <c r="AD4" s="24"/>
      <c r="AE4" s="24"/>
      <c r="AF4" s="24"/>
      <c r="AG4" s="24"/>
      <c r="AH4" s="24"/>
      <c r="AI4" s="24"/>
      <c r="AJ4" s="24"/>
      <c r="AK4" s="3"/>
      <c r="AL4" s="3"/>
      <c r="AM4" s="3"/>
      <c r="AN4" s="3"/>
    </row>
    <row r="5">
      <c r="A5" s="24"/>
      <c r="B5" s="24"/>
      <c r="C5" s="24"/>
      <c r="D5" s="24"/>
      <c r="E5" s="24"/>
      <c r="F5" s="24"/>
      <c r="G5" s="24"/>
      <c r="H5" s="24"/>
      <c r="I5" s="24"/>
      <c r="J5" s="24"/>
      <c r="K5" s="24"/>
      <c r="L5" s="24"/>
      <c r="M5" s="24"/>
      <c r="N5" s="24"/>
      <c r="O5" s="24"/>
      <c r="P5" s="254"/>
      <c r="Q5" s="7"/>
      <c r="R5" s="7"/>
      <c r="S5" s="7"/>
      <c r="T5" s="5"/>
      <c r="U5" s="21"/>
      <c r="V5" s="22"/>
      <c r="W5" s="24"/>
      <c r="X5" s="24"/>
      <c r="Y5" s="24"/>
      <c r="Z5" s="24"/>
      <c r="AA5" s="24"/>
      <c r="AB5" s="24"/>
      <c r="AC5" s="24"/>
      <c r="AD5" s="24"/>
      <c r="AE5" s="24"/>
      <c r="AF5" s="24"/>
      <c r="AG5" s="24"/>
      <c r="AH5" s="24"/>
      <c r="AI5" s="24"/>
      <c r="AJ5" s="24"/>
      <c r="AK5" s="3"/>
      <c r="AL5" s="3"/>
      <c r="AM5" s="3"/>
      <c r="AN5" s="3"/>
    </row>
    <row r="6">
      <c r="A6" s="24"/>
      <c r="B6" s="24"/>
      <c r="C6" s="24"/>
      <c r="D6" s="24"/>
      <c r="E6" s="24"/>
      <c r="F6" s="24"/>
      <c r="G6" s="24"/>
      <c r="H6" s="24"/>
      <c r="I6" s="24"/>
      <c r="J6" s="24"/>
      <c r="K6" s="24"/>
      <c r="L6" s="24"/>
      <c r="M6" s="24"/>
      <c r="N6" s="24"/>
      <c r="O6" s="24"/>
      <c r="P6" s="415" t="s">
        <v>277</v>
      </c>
      <c r="Q6" s="11"/>
      <c r="R6" s="11"/>
      <c r="S6" s="11"/>
      <c r="T6" s="12"/>
      <c r="U6" s="414"/>
      <c r="V6" s="12"/>
      <c r="W6" s="24"/>
      <c r="X6" s="24"/>
      <c r="Y6" s="24"/>
      <c r="Z6" s="24"/>
      <c r="AA6" s="24"/>
      <c r="AB6" s="24"/>
      <c r="AC6" s="24"/>
      <c r="AD6" s="24"/>
      <c r="AE6" s="24"/>
      <c r="AF6" s="24"/>
      <c r="AG6" s="24"/>
      <c r="AH6" s="24"/>
      <c r="AI6" s="24"/>
      <c r="AJ6" s="24"/>
      <c r="AK6" s="3"/>
      <c r="AL6" s="3"/>
      <c r="AM6" s="3"/>
      <c r="AN6" s="3"/>
    </row>
    <row r="7">
      <c r="A7" s="24"/>
      <c r="B7" s="24"/>
      <c r="C7" s="24"/>
      <c r="D7" s="24"/>
      <c r="E7" s="24"/>
      <c r="F7" s="24"/>
      <c r="G7" s="24"/>
      <c r="H7" s="24"/>
      <c r="I7" s="24"/>
      <c r="J7" s="24"/>
      <c r="K7" s="24"/>
      <c r="L7" s="24"/>
      <c r="M7" s="24"/>
      <c r="N7" s="24"/>
      <c r="O7" s="24"/>
      <c r="P7" s="21"/>
      <c r="Q7" s="31"/>
      <c r="R7" s="31"/>
      <c r="S7" s="31"/>
      <c r="T7" s="22"/>
      <c r="U7" s="21"/>
      <c r="V7" s="22"/>
      <c r="W7" s="24"/>
      <c r="X7" s="24"/>
      <c r="Y7" s="24"/>
      <c r="Z7" s="24"/>
      <c r="AA7" s="24"/>
      <c r="AB7" s="24"/>
      <c r="AC7" s="24"/>
      <c r="AD7" s="24"/>
      <c r="AE7" s="24"/>
      <c r="AF7" s="24"/>
      <c r="AG7" s="24"/>
      <c r="AH7" s="24"/>
      <c r="AI7" s="24"/>
      <c r="AJ7" s="24"/>
      <c r="AK7" s="24"/>
      <c r="AL7" s="24"/>
      <c r="AM7" s="24"/>
      <c r="AN7" s="24"/>
    </row>
    <row r="8">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row>
    <row r="9">
      <c r="A9" s="142"/>
      <c r="B9" s="416" t="s">
        <v>278</v>
      </c>
      <c r="AN9" s="142"/>
    </row>
    <row r="10">
      <c r="A10" s="142"/>
      <c r="B10" s="417"/>
      <c r="C10" s="418" t="s">
        <v>279</v>
      </c>
      <c r="D10" s="7"/>
      <c r="E10" s="7"/>
      <c r="F10" s="7"/>
      <c r="G10" s="7"/>
      <c r="H10" s="7"/>
      <c r="I10" s="7"/>
      <c r="J10" s="7"/>
      <c r="K10" s="7"/>
      <c r="L10" s="7"/>
      <c r="M10" s="5"/>
      <c r="N10" s="408"/>
      <c r="O10" s="417"/>
      <c r="P10" s="419" t="s">
        <v>280</v>
      </c>
      <c r="Q10" s="31"/>
      <c r="R10" s="31"/>
      <c r="S10" s="420"/>
      <c r="T10" s="31"/>
      <c r="U10" s="31"/>
      <c r="V10" s="31"/>
      <c r="W10" s="31"/>
      <c r="X10" s="31"/>
      <c r="Y10" s="31"/>
      <c r="Z10" s="22"/>
      <c r="AA10" s="408"/>
      <c r="AB10" s="417"/>
      <c r="AC10" s="418" t="s">
        <v>281</v>
      </c>
      <c r="AD10" s="389"/>
      <c r="AE10" s="389"/>
      <c r="AF10" s="389"/>
      <c r="AG10" s="389"/>
      <c r="AH10" s="389"/>
      <c r="AI10" s="389"/>
      <c r="AJ10" s="389"/>
      <c r="AK10" s="389"/>
      <c r="AL10" s="389"/>
      <c r="AM10" s="390"/>
      <c r="AN10" s="142"/>
    </row>
    <row r="11">
      <c r="A11" s="142"/>
      <c r="B11" s="421" t="s">
        <v>282</v>
      </c>
      <c r="D11" s="422">
        <v>1.0</v>
      </c>
      <c r="H11" s="423" t="s">
        <v>283</v>
      </c>
      <c r="J11" s="408"/>
      <c r="M11" s="19"/>
      <c r="N11" s="408"/>
      <c r="O11" s="421" t="s">
        <v>282</v>
      </c>
      <c r="Q11" s="424"/>
      <c r="U11" s="423" t="s">
        <v>283</v>
      </c>
      <c r="W11" s="408"/>
      <c r="Z11" s="19"/>
      <c r="AA11" s="408"/>
      <c r="AB11" s="421" t="s">
        <v>282</v>
      </c>
      <c r="AD11" s="422">
        <v>1.0</v>
      </c>
      <c r="AH11" s="423" t="s">
        <v>283</v>
      </c>
      <c r="AJ11" s="408"/>
      <c r="AM11" s="425"/>
      <c r="AN11" s="142"/>
    </row>
    <row r="12">
      <c r="A12" s="142"/>
      <c r="B12" s="426" t="s">
        <v>284</v>
      </c>
      <c r="M12" s="19"/>
      <c r="N12" s="408"/>
      <c r="O12" s="426" t="s">
        <v>284</v>
      </c>
      <c r="Z12" s="19"/>
      <c r="AA12" s="408"/>
      <c r="AB12" s="426" t="s">
        <v>284</v>
      </c>
      <c r="AM12" s="427"/>
      <c r="AN12" s="142"/>
    </row>
    <row r="13">
      <c r="A13" s="142"/>
      <c r="B13" s="419" t="s">
        <v>280</v>
      </c>
      <c r="C13" s="31"/>
      <c r="D13" s="31"/>
      <c r="E13" s="31"/>
      <c r="F13" s="31"/>
      <c r="G13" s="31"/>
      <c r="H13" s="31"/>
      <c r="I13" s="31"/>
      <c r="J13" s="31"/>
      <c r="K13" s="31"/>
      <c r="L13" s="31"/>
      <c r="M13" s="22"/>
      <c r="N13" s="408"/>
      <c r="O13" s="419" t="s">
        <v>285</v>
      </c>
      <c r="P13" s="31"/>
      <c r="Q13" s="31"/>
      <c r="R13" s="31"/>
      <c r="S13" s="123"/>
      <c r="T13" s="31"/>
      <c r="U13" s="31"/>
      <c r="V13" s="31"/>
      <c r="W13" s="31"/>
      <c r="X13" s="31"/>
      <c r="Y13" s="31"/>
      <c r="Z13" s="22"/>
      <c r="AA13" s="408"/>
      <c r="AB13" s="419" t="s">
        <v>286</v>
      </c>
      <c r="AC13" s="428"/>
      <c r="AD13" s="428"/>
      <c r="AE13" s="428"/>
      <c r="AF13" s="428"/>
      <c r="AG13" s="428"/>
      <c r="AH13" s="428"/>
      <c r="AI13" s="428"/>
      <c r="AJ13" s="428"/>
      <c r="AK13" s="428"/>
      <c r="AL13" s="428"/>
      <c r="AM13" s="429"/>
      <c r="AN13" s="142"/>
    </row>
    <row r="14">
      <c r="A14" s="142"/>
      <c r="B14" s="408"/>
      <c r="C14" s="408"/>
      <c r="D14" s="408"/>
      <c r="E14" s="408"/>
      <c r="F14" s="408"/>
      <c r="G14" s="408"/>
      <c r="H14" s="408"/>
      <c r="I14" s="408"/>
      <c r="J14" s="408"/>
      <c r="K14" s="408"/>
      <c r="L14" s="408"/>
      <c r="M14" s="408"/>
      <c r="N14" s="408"/>
      <c r="O14" s="408"/>
      <c r="P14" s="408"/>
      <c r="Q14" s="408"/>
      <c r="R14" s="408"/>
      <c r="S14" s="408"/>
      <c r="T14" s="408"/>
      <c r="U14" s="408"/>
      <c r="V14" s="408"/>
      <c r="W14" s="408"/>
      <c r="X14" s="408"/>
      <c r="Y14" s="408"/>
      <c r="Z14" s="408"/>
      <c r="AA14" s="408"/>
      <c r="AB14" s="408"/>
      <c r="AC14" s="408"/>
      <c r="AD14" s="408"/>
      <c r="AE14" s="408"/>
      <c r="AF14" s="408"/>
      <c r="AG14" s="408"/>
      <c r="AH14" s="408"/>
      <c r="AI14" s="408"/>
      <c r="AJ14" s="408"/>
      <c r="AK14" s="408"/>
      <c r="AL14" s="408"/>
      <c r="AM14" s="408"/>
      <c r="AN14" s="142"/>
    </row>
    <row r="15">
      <c r="A15" s="142"/>
      <c r="B15" s="408"/>
      <c r="N15" s="408"/>
      <c r="O15" s="408"/>
      <c r="AA15" s="408"/>
      <c r="AB15" s="408"/>
      <c r="AN15" s="142"/>
    </row>
    <row r="16">
      <c r="A16" s="142"/>
      <c r="B16" s="417"/>
      <c r="C16" s="430"/>
      <c r="D16" s="400"/>
      <c r="E16" s="400"/>
      <c r="F16" s="400"/>
      <c r="G16" s="400"/>
      <c r="H16" s="400"/>
      <c r="I16" s="400"/>
      <c r="J16" s="400"/>
      <c r="K16" s="400"/>
      <c r="L16" s="400"/>
      <c r="M16" s="401"/>
      <c r="N16" s="408"/>
      <c r="O16" s="417"/>
      <c r="P16" s="430"/>
      <c r="Q16" s="7"/>
      <c r="R16" s="7"/>
      <c r="S16" s="138"/>
      <c r="T16" s="7"/>
      <c r="U16" s="7"/>
      <c r="V16" s="7"/>
      <c r="W16" s="7"/>
      <c r="X16" s="7"/>
      <c r="Y16" s="7"/>
      <c r="Z16" s="5"/>
      <c r="AA16" s="408"/>
      <c r="AB16" s="417"/>
      <c r="AC16" s="430"/>
      <c r="AD16" s="389"/>
      <c r="AE16" s="389"/>
      <c r="AF16" s="389"/>
      <c r="AG16" s="389"/>
      <c r="AH16" s="389"/>
      <c r="AI16" s="389"/>
      <c r="AJ16" s="389"/>
      <c r="AK16" s="389"/>
      <c r="AL16" s="389"/>
      <c r="AM16" s="390"/>
      <c r="AN16" s="142"/>
    </row>
    <row r="17">
      <c r="A17" s="142"/>
      <c r="B17" s="421" t="s">
        <v>282</v>
      </c>
      <c r="D17" s="424"/>
      <c r="H17" s="423" t="s">
        <v>283</v>
      </c>
      <c r="J17" s="408"/>
      <c r="M17" s="425"/>
      <c r="N17" s="408"/>
      <c r="O17" s="421" t="s">
        <v>282</v>
      </c>
      <c r="Q17" s="424"/>
      <c r="U17" s="423" t="s">
        <v>283</v>
      </c>
      <c r="W17" s="408"/>
      <c r="Z17" s="19"/>
      <c r="AA17" s="408"/>
      <c r="AB17" s="421" t="s">
        <v>282</v>
      </c>
      <c r="AD17" s="424"/>
      <c r="AH17" s="423" t="s">
        <v>283</v>
      </c>
      <c r="AJ17" s="408"/>
      <c r="AM17" s="425"/>
      <c r="AN17" s="142"/>
    </row>
    <row r="18">
      <c r="A18" s="142"/>
      <c r="B18" s="426" t="s">
        <v>284</v>
      </c>
      <c r="M18" s="427"/>
      <c r="N18" s="408"/>
      <c r="O18" s="426" t="s">
        <v>284</v>
      </c>
      <c r="Z18" s="19"/>
      <c r="AA18" s="408"/>
      <c r="AB18" s="426" t="s">
        <v>284</v>
      </c>
      <c r="AM18" s="427"/>
      <c r="AN18" s="142"/>
    </row>
    <row r="19">
      <c r="A19" s="142"/>
      <c r="B19" s="431"/>
      <c r="C19" s="428"/>
      <c r="D19" s="428"/>
      <c r="E19" s="428"/>
      <c r="F19" s="428"/>
      <c r="G19" s="428"/>
      <c r="H19" s="428"/>
      <c r="I19" s="428"/>
      <c r="J19" s="428"/>
      <c r="K19" s="428"/>
      <c r="L19" s="428"/>
      <c r="M19" s="429"/>
      <c r="N19" s="408"/>
      <c r="O19" s="431"/>
      <c r="P19" s="31"/>
      <c r="Q19" s="31"/>
      <c r="R19" s="31"/>
      <c r="S19" s="123"/>
      <c r="T19" s="31"/>
      <c r="U19" s="31"/>
      <c r="V19" s="31"/>
      <c r="W19" s="31"/>
      <c r="X19" s="31"/>
      <c r="Y19" s="31"/>
      <c r="Z19" s="22"/>
      <c r="AA19" s="408"/>
      <c r="AB19" s="431"/>
      <c r="AC19" s="428"/>
      <c r="AD19" s="428"/>
      <c r="AE19" s="428"/>
      <c r="AF19" s="428"/>
      <c r="AG19" s="428"/>
      <c r="AH19" s="428"/>
      <c r="AI19" s="428"/>
      <c r="AJ19" s="428"/>
      <c r="AK19" s="428"/>
      <c r="AL19" s="428"/>
      <c r="AM19" s="429"/>
      <c r="AN19" s="142"/>
    </row>
    <row r="20" ht="15.0" customHeight="1">
      <c r="A20" s="396"/>
      <c r="B20" s="408"/>
      <c r="C20" s="408"/>
      <c r="D20" s="408"/>
      <c r="E20" s="408"/>
      <c r="F20" s="408"/>
      <c r="G20" s="408"/>
      <c r="H20" s="408"/>
      <c r="I20" s="408"/>
      <c r="J20" s="408"/>
      <c r="K20" s="408"/>
      <c r="L20" s="408"/>
      <c r="M20" s="408"/>
      <c r="N20" s="408"/>
      <c r="O20" s="408"/>
      <c r="P20" s="408"/>
      <c r="Q20" s="408"/>
      <c r="R20" s="408"/>
      <c r="S20" s="408"/>
      <c r="T20" s="408"/>
      <c r="U20" s="408"/>
      <c r="V20" s="408"/>
      <c r="W20" s="408"/>
      <c r="X20" s="408"/>
      <c r="Y20" s="408"/>
      <c r="Z20" s="408"/>
      <c r="AA20" s="408"/>
      <c r="AB20" s="408"/>
      <c r="AC20" s="408"/>
      <c r="AD20" s="408"/>
      <c r="AE20" s="408"/>
      <c r="AF20" s="408"/>
      <c r="AG20" s="408"/>
      <c r="AH20" s="408"/>
      <c r="AI20" s="408"/>
      <c r="AJ20" s="408"/>
      <c r="AK20" s="408"/>
      <c r="AL20" s="408"/>
      <c r="AM20" s="408"/>
      <c r="AN20" s="142"/>
    </row>
    <row r="21" ht="15.0" customHeight="1">
      <c r="A21" s="142"/>
      <c r="B21" s="417"/>
      <c r="C21" s="430"/>
      <c r="D21" s="406"/>
      <c r="E21" s="406"/>
      <c r="F21" s="406"/>
      <c r="G21" s="406"/>
      <c r="H21" s="406"/>
      <c r="I21" s="406"/>
      <c r="J21" s="406"/>
      <c r="K21" s="406"/>
      <c r="L21" s="406"/>
      <c r="M21" s="407"/>
      <c r="N21" s="408"/>
      <c r="O21" s="417"/>
      <c r="P21" s="430"/>
      <c r="Q21" s="7"/>
      <c r="R21" s="7"/>
      <c r="S21" s="7"/>
      <c r="T21" s="7"/>
      <c r="U21" s="7"/>
      <c r="V21" s="7"/>
      <c r="W21" s="7"/>
      <c r="X21" s="7"/>
      <c r="Y21" s="7"/>
      <c r="Z21" s="5"/>
      <c r="AA21" s="408"/>
      <c r="AB21" s="417"/>
      <c r="AC21" s="430"/>
      <c r="AD21" s="7"/>
      <c r="AE21" s="7"/>
      <c r="AF21" s="7"/>
      <c r="AG21" s="7"/>
      <c r="AH21" s="7"/>
      <c r="AI21" s="7"/>
      <c r="AJ21" s="7"/>
      <c r="AK21" s="7"/>
      <c r="AL21" s="7"/>
      <c r="AM21" s="5"/>
      <c r="AN21" s="142"/>
    </row>
    <row r="22">
      <c r="A22" s="396"/>
      <c r="B22" s="421" t="s">
        <v>282</v>
      </c>
      <c r="D22" s="424"/>
      <c r="H22" s="423" t="s">
        <v>283</v>
      </c>
      <c r="J22" s="408"/>
      <c r="M22" s="427"/>
      <c r="N22" s="408"/>
      <c r="O22" s="421" t="s">
        <v>282</v>
      </c>
      <c r="Q22" s="424"/>
      <c r="U22" s="423" t="s">
        <v>283</v>
      </c>
      <c r="W22" s="408"/>
      <c r="Z22" s="19"/>
      <c r="AA22" s="408"/>
      <c r="AB22" s="421" t="s">
        <v>282</v>
      </c>
      <c r="AD22" s="424"/>
      <c r="AH22" s="423" t="s">
        <v>283</v>
      </c>
      <c r="AJ22" s="408"/>
      <c r="AM22" s="19"/>
      <c r="AN22" s="142"/>
    </row>
    <row r="23">
      <c r="A23" s="142"/>
      <c r="B23" s="426" t="s">
        <v>284</v>
      </c>
      <c r="M23" s="425"/>
      <c r="N23" s="408"/>
      <c r="O23" s="426" t="s">
        <v>284</v>
      </c>
      <c r="Z23" s="19"/>
      <c r="AA23" s="408"/>
      <c r="AB23" s="426" t="s">
        <v>284</v>
      </c>
      <c r="AM23" s="19"/>
      <c r="AN23" s="142"/>
    </row>
    <row r="24">
      <c r="A24" s="142"/>
      <c r="B24" s="431"/>
      <c r="C24" s="432"/>
      <c r="D24" s="432"/>
      <c r="E24" s="432"/>
      <c r="F24" s="432"/>
      <c r="G24" s="432"/>
      <c r="H24" s="432"/>
      <c r="I24" s="432"/>
      <c r="J24" s="432"/>
      <c r="K24" s="432"/>
      <c r="L24" s="432"/>
      <c r="M24" s="433"/>
      <c r="N24" s="408"/>
      <c r="O24" s="431"/>
      <c r="P24" s="432"/>
      <c r="Q24" s="432"/>
      <c r="R24" s="432"/>
      <c r="S24" s="432"/>
      <c r="T24" s="432"/>
      <c r="U24" s="432"/>
      <c r="V24" s="432"/>
      <c r="W24" s="432"/>
      <c r="X24" s="432"/>
      <c r="Y24" s="432"/>
      <c r="Z24" s="433"/>
      <c r="AA24" s="408"/>
      <c r="AB24" s="431"/>
      <c r="AC24" s="432"/>
      <c r="AD24" s="432"/>
      <c r="AE24" s="432"/>
      <c r="AF24" s="432"/>
      <c r="AG24" s="432"/>
      <c r="AH24" s="432"/>
      <c r="AI24" s="432"/>
      <c r="AJ24" s="432"/>
      <c r="AK24" s="432"/>
      <c r="AL24" s="432"/>
      <c r="AM24" s="433"/>
      <c r="AN24" s="142"/>
    </row>
    <row r="25">
      <c r="A25" s="142"/>
      <c r="B25" s="408"/>
      <c r="C25" s="408"/>
      <c r="D25" s="408"/>
      <c r="E25" s="408"/>
      <c r="F25" s="408"/>
      <c r="G25" s="408"/>
      <c r="H25" s="408"/>
      <c r="I25" s="408"/>
      <c r="J25" s="408"/>
      <c r="K25" s="408"/>
      <c r="L25" s="408"/>
      <c r="M25" s="408"/>
      <c r="N25" s="408"/>
      <c r="O25" s="408"/>
      <c r="P25" s="408"/>
      <c r="Q25" s="408"/>
      <c r="R25" s="408"/>
      <c r="S25" s="408"/>
      <c r="T25" s="408"/>
      <c r="U25" s="408"/>
      <c r="V25" s="408"/>
      <c r="W25" s="408"/>
      <c r="X25" s="408"/>
      <c r="Y25" s="408"/>
      <c r="Z25" s="408"/>
      <c r="AA25" s="408"/>
      <c r="AB25" s="408"/>
      <c r="AC25" s="408"/>
      <c r="AD25" s="408"/>
      <c r="AE25" s="408"/>
      <c r="AF25" s="408"/>
      <c r="AG25" s="408"/>
      <c r="AH25" s="408"/>
      <c r="AI25" s="408"/>
      <c r="AJ25" s="408"/>
      <c r="AK25" s="408"/>
      <c r="AL25" s="408"/>
      <c r="AM25" s="408"/>
      <c r="AN25" s="142"/>
    </row>
    <row r="26">
      <c r="A26" s="142"/>
      <c r="B26" s="417"/>
      <c r="C26" s="430"/>
      <c r="D26" s="400"/>
      <c r="E26" s="400"/>
      <c r="F26" s="400"/>
      <c r="G26" s="400"/>
      <c r="H26" s="400"/>
      <c r="I26" s="400"/>
      <c r="J26" s="400"/>
      <c r="K26" s="400"/>
      <c r="L26" s="400"/>
      <c r="M26" s="401"/>
      <c r="N26" s="408"/>
      <c r="O26" s="417"/>
      <c r="P26" s="430"/>
      <c r="Q26" s="400"/>
      <c r="R26" s="400"/>
      <c r="S26" s="400"/>
      <c r="T26" s="400"/>
      <c r="U26" s="400"/>
      <c r="V26" s="400"/>
      <c r="W26" s="400"/>
      <c r="X26" s="400"/>
      <c r="Y26" s="400"/>
      <c r="Z26" s="401"/>
      <c r="AA26" s="408"/>
      <c r="AB26" s="417"/>
      <c r="AC26" s="430"/>
      <c r="AD26" s="400"/>
      <c r="AE26" s="400"/>
      <c r="AF26" s="400"/>
      <c r="AG26" s="400"/>
      <c r="AH26" s="400"/>
      <c r="AI26" s="400"/>
      <c r="AJ26" s="400"/>
      <c r="AK26" s="400"/>
      <c r="AL26" s="400"/>
      <c r="AM26" s="401"/>
      <c r="AN26" s="142"/>
    </row>
    <row r="27">
      <c r="A27" s="142"/>
      <c r="B27" s="421" t="s">
        <v>282</v>
      </c>
      <c r="D27" s="424"/>
      <c r="H27" s="423" t="s">
        <v>283</v>
      </c>
      <c r="J27" s="408"/>
      <c r="M27" s="425"/>
      <c r="N27" s="408"/>
      <c r="O27" s="421" t="s">
        <v>282</v>
      </c>
      <c r="Q27" s="424"/>
      <c r="U27" s="423" t="s">
        <v>283</v>
      </c>
      <c r="W27" s="408"/>
      <c r="Z27" s="425"/>
      <c r="AA27" s="408"/>
      <c r="AB27" s="421" t="s">
        <v>282</v>
      </c>
      <c r="AD27" s="424"/>
      <c r="AH27" s="423" t="s">
        <v>283</v>
      </c>
      <c r="AJ27" s="408"/>
      <c r="AM27" s="425"/>
      <c r="AN27" s="142"/>
    </row>
    <row r="28">
      <c r="A28" s="142"/>
      <c r="B28" s="426" t="s">
        <v>284</v>
      </c>
      <c r="M28" s="427"/>
      <c r="N28" s="408"/>
      <c r="O28" s="426" t="s">
        <v>284</v>
      </c>
      <c r="Z28" s="427"/>
      <c r="AA28" s="408"/>
      <c r="AB28" s="426" t="s">
        <v>284</v>
      </c>
      <c r="AM28" s="427"/>
      <c r="AN28" s="142"/>
    </row>
    <row r="29">
      <c r="A29" s="396"/>
      <c r="B29" s="431"/>
      <c r="C29" s="428"/>
      <c r="D29" s="428"/>
      <c r="E29" s="428"/>
      <c r="F29" s="428"/>
      <c r="G29" s="428"/>
      <c r="H29" s="428"/>
      <c r="I29" s="428"/>
      <c r="J29" s="428"/>
      <c r="K29" s="428"/>
      <c r="L29" s="428"/>
      <c r="M29" s="429"/>
      <c r="N29" s="408"/>
      <c r="O29" s="431"/>
      <c r="P29" s="428"/>
      <c r="Q29" s="428"/>
      <c r="R29" s="428"/>
      <c r="S29" s="428"/>
      <c r="T29" s="428"/>
      <c r="U29" s="428"/>
      <c r="V29" s="428"/>
      <c r="W29" s="428"/>
      <c r="X29" s="428"/>
      <c r="Y29" s="428"/>
      <c r="Z29" s="429"/>
      <c r="AA29" s="408"/>
      <c r="AB29" s="431"/>
      <c r="AC29" s="428"/>
      <c r="AD29" s="428"/>
      <c r="AE29" s="428"/>
      <c r="AF29" s="428"/>
      <c r="AG29" s="428"/>
      <c r="AH29" s="428"/>
      <c r="AI29" s="428"/>
      <c r="AJ29" s="428"/>
      <c r="AK29" s="428"/>
      <c r="AL29" s="428"/>
      <c r="AM29" s="429"/>
      <c r="AN29" s="142"/>
    </row>
    <row r="30" ht="15.75" customHeight="1">
      <c r="A30" s="142"/>
      <c r="B30" s="408"/>
      <c r="C30" s="408"/>
      <c r="D30" s="408"/>
      <c r="E30" s="408"/>
      <c r="F30" s="408"/>
      <c r="G30" s="408"/>
      <c r="H30" s="408"/>
      <c r="I30" s="408"/>
      <c r="J30" s="408"/>
      <c r="K30" s="408"/>
      <c r="L30" s="408"/>
      <c r="M30" s="408"/>
      <c r="N30" s="408"/>
      <c r="O30" s="408"/>
      <c r="P30" s="408"/>
      <c r="Q30" s="408"/>
      <c r="R30" s="408"/>
      <c r="S30" s="408"/>
      <c r="T30" s="408"/>
      <c r="U30" s="408"/>
      <c r="V30" s="408"/>
      <c r="W30" s="408"/>
      <c r="X30" s="408"/>
      <c r="Y30" s="408"/>
      <c r="Z30" s="408"/>
      <c r="AA30" s="408"/>
      <c r="AB30" s="408"/>
      <c r="AC30" s="408"/>
      <c r="AD30" s="408"/>
      <c r="AE30" s="408"/>
      <c r="AF30" s="408"/>
      <c r="AG30" s="408"/>
      <c r="AH30" s="408"/>
      <c r="AI30" s="408"/>
      <c r="AJ30" s="408"/>
      <c r="AK30" s="408"/>
      <c r="AL30" s="408"/>
      <c r="AM30" s="408"/>
      <c r="AN30" s="142"/>
    </row>
    <row r="31" ht="15.75" customHeight="1">
      <c r="A31" s="142"/>
      <c r="B31" s="417"/>
      <c r="C31" s="430"/>
      <c r="D31" s="7"/>
      <c r="E31" s="7"/>
      <c r="F31" s="7"/>
      <c r="G31" s="7"/>
      <c r="H31" s="7"/>
      <c r="I31" s="7"/>
      <c r="J31" s="7"/>
      <c r="K31" s="7"/>
      <c r="L31" s="7"/>
      <c r="M31" s="5"/>
      <c r="N31" s="408"/>
      <c r="O31" s="417"/>
      <c r="P31" s="430"/>
      <c r="Q31" s="7"/>
      <c r="R31" s="7"/>
      <c r="S31" s="7"/>
      <c r="T31" s="7"/>
      <c r="U31" s="7"/>
      <c r="V31" s="7"/>
      <c r="W31" s="7"/>
      <c r="X31" s="7"/>
      <c r="Y31" s="7"/>
      <c r="Z31" s="5"/>
      <c r="AA31" s="408"/>
      <c r="AB31" s="417"/>
      <c r="AC31" s="430"/>
      <c r="AD31" s="7"/>
      <c r="AE31" s="7"/>
      <c r="AF31" s="7"/>
      <c r="AG31" s="7"/>
      <c r="AH31" s="7"/>
      <c r="AI31" s="7"/>
      <c r="AJ31" s="7"/>
      <c r="AK31" s="7"/>
      <c r="AL31" s="7"/>
      <c r="AM31" s="5"/>
      <c r="AN31" s="142"/>
    </row>
    <row r="32">
      <c r="A32" s="142"/>
      <c r="B32" s="421" t="s">
        <v>282</v>
      </c>
      <c r="D32" s="424"/>
      <c r="H32" s="423" t="s">
        <v>283</v>
      </c>
      <c r="J32" s="408"/>
      <c r="M32" s="434"/>
      <c r="N32" s="408"/>
      <c r="O32" s="421" t="s">
        <v>282</v>
      </c>
      <c r="Q32" s="424"/>
      <c r="U32" s="423" t="s">
        <v>283</v>
      </c>
      <c r="W32" s="408"/>
      <c r="Z32" s="434"/>
      <c r="AA32" s="408"/>
      <c r="AB32" s="421" t="s">
        <v>282</v>
      </c>
      <c r="AD32" s="424"/>
      <c r="AH32" s="423" t="s">
        <v>283</v>
      </c>
      <c r="AJ32" s="408"/>
      <c r="AM32" s="434"/>
      <c r="AN32" s="142"/>
    </row>
    <row r="33">
      <c r="A33" s="142"/>
      <c r="B33" s="426" t="s">
        <v>284</v>
      </c>
      <c r="M33" s="425"/>
      <c r="N33" s="408"/>
      <c r="O33" s="426" t="s">
        <v>284</v>
      </c>
      <c r="Z33" s="425"/>
      <c r="AA33" s="408"/>
      <c r="AB33" s="426" t="s">
        <v>284</v>
      </c>
      <c r="AM33" s="425"/>
      <c r="AN33" s="142"/>
    </row>
    <row r="34">
      <c r="A34" s="142"/>
      <c r="B34" s="431"/>
      <c r="C34" s="435"/>
      <c r="D34" s="435"/>
      <c r="E34" s="435"/>
      <c r="F34" s="435"/>
      <c r="G34" s="435"/>
      <c r="H34" s="435"/>
      <c r="I34" s="435"/>
      <c r="J34" s="435"/>
      <c r="K34" s="435"/>
      <c r="L34" s="435"/>
      <c r="M34" s="436"/>
      <c r="N34" s="408"/>
      <c r="O34" s="431"/>
      <c r="P34" s="435"/>
      <c r="Q34" s="435"/>
      <c r="R34" s="435"/>
      <c r="S34" s="435"/>
      <c r="T34" s="435"/>
      <c r="U34" s="435"/>
      <c r="V34" s="435"/>
      <c r="W34" s="435"/>
      <c r="X34" s="435"/>
      <c r="Y34" s="435"/>
      <c r="Z34" s="436"/>
      <c r="AA34" s="408"/>
      <c r="AB34" s="431"/>
      <c r="AC34" s="435"/>
      <c r="AD34" s="435"/>
      <c r="AE34" s="435"/>
      <c r="AF34" s="435"/>
      <c r="AG34" s="435"/>
      <c r="AH34" s="435"/>
      <c r="AI34" s="435"/>
      <c r="AJ34" s="435"/>
      <c r="AK34" s="435"/>
      <c r="AL34" s="435"/>
      <c r="AM34" s="436"/>
      <c r="AN34" s="142"/>
    </row>
    <row r="35">
      <c r="A35" s="142"/>
      <c r="B35" s="408"/>
      <c r="C35" s="408"/>
      <c r="D35" s="408"/>
      <c r="E35" s="408"/>
      <c r="F35" s="408"/>
      <c r="G35" s="408"/>
      <c r="H35" s="408"/>
      <c r="I35" s="408"/>
      <c r="J35" s="408"/>
      <c r="K35" s="408"/>
      <c r="L35" s="408"/>
      <c r="M35" s="408"/>
      <c r="N35" s="408"/>
      <c r="O35" s="408"/>
      <c r="P35" s="408"/>
      <c r="Q35" s="408"/>
      <c r="R35" s="408"/>
      <c r="S35" s="408"/>
      <c r="T35" s="408"/>
      <c r="U35" s="408"/>
      <c r="V35" s="408"/>
      <c r="W35" s="408"/>
      <c r="X35" s="408"/>
      <c r="Y35" s="408"/>
      <c r="Z35" s="408"/>
      <c r="AA35" s="408"/>
      <c r="AB35" s="408"/>
      <c r="AC35" s="408"/>
      <c r="AD35" s="408"/>
      <c r="AE35" s="408"/>
      <c r="AF35" s="408"/>
      <c r="AG35" s="408"/>
      <c r="AH35" s="408"/>
      <c r="AI35" s="408"/>
      <c r="AJ35" s="408"/>
      <c r="AK35" s="408"/>
      <c r="AL35" s="408"/>
      <c r="AM35" s="408"/>
      <c r="AN35" s="142"/>
    </row>
    <row r="36">
      <c r="A36" s="396"/>
      <c r="B36" s="142"/>
      <c r="C36" s="142"/>
      <c r="D36" s="142"/>
      <c r="E36" s="142"/>
      <c r="F36" s="142"/>
      <c r="G36" s="142"/>
      <c r="H36" s="142"/>
      <c r="I36" s="142"/>
      <c r="J36" s="142"/>
      <c r="K36" s="142"/>
      <c r="L36" s="142"/>
      <c r="M36" s="142"/>
      <c r="N36" s="396"/>
      <c r="O36" s="142"/>
      <c r="P36" s="142"/>
      <c r="Q36" s="142"/>
      <c r="R36" s="142"/>
      <c r="S36" s="142"/>
      <c r="T36" s="142"/>
      <c r="U36" s="142"/>
      <c r="V36" s="142"/>
      <c r="W36" s="142"/>
      <c r="X36" s="142"/>
      <c r="Y36" s="142"/>
      <c r="Z36" s="142"/>
      <c r="AA36" s="142"/>
      <c r="AB36" s="142"/>
      <c r="AC36" s="142"/>
      <c r="AD36" s="142"/>
      <c r="AE36" s="142"/>
      <c r="AF36" s="142"/>
      <c r="AG36" s="142"/>
      <c r="AH36" s="142"/>
      <c r="AI36" s="142"/>
      <c r="AJ36" s="142"/>
      <c r="AK36" s="142"/>
      <c r="AL36" s="142"/>
      <c r="AM36" s="142"/>
      <c r="AN36" s="142"/>
    </row>
    <row r="37">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row>
    <row r="38">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row>
    <row r="39">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row>
    <row r="40">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c r="AA40" s="142"/>
      <c r="AB40" s="142"/>
      <c r="AC40" s="142"/>
      <c r="AD40" s="142"/>
      <c r="AE40" s="142"/>
      <c r="AF40" s="142"/>
      <c r="AG40" s="142"/>
      <c r="AH40" s="142"/>
      <c r="AI40" s="142"/>
      <c r="AJ40" s="142"/>
      <c r="AK40" s="142"/>
      <c r="AL40" s="142"/>
      <c r="AM40" s="142"/>
      <c r="AN40" s="142"/>
    </row>
    <row r="4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2"/>
      <c r="AJ41" s="142"/>
      <c r="AK41" s="142"/>
      <c r="AL41" s="142"/>
      <c r="AM41" s="142"/>
      <c r="AN41" s="142"/>
    </row>
    <row r="4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142"/>
      <c r="AK42" s="142"/>
      <c r="AL42" s="142"/>
      <c r="AM42" s="142"/>
      <c r="AN42" s="142"/>
    </row>
    <row r="43">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c r="AA43" s="142"/>
      <c r="AB43" s="142"/>
      <c r="AC43" s="142"/>
      <c r="AD43" s="142"/>
      <c r="AE43" s="142"/>
      <c r="AF43" s="142"/>
      <c r="AG43" s="142"/>
      <c r="AH43" s="142"/>
      <c r="AI43" s="142"/>
      <c r="AJ43" s="142"/>
      <c r="AK43" s="142"/>
      <c r="AL43" s="142"/>
      <c r="AM43" s="142"/>
      <c r="AN43" s="142"/>
    </row>
    <row r="44">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c r="AA44" s="142"/>
      <c r="AB44" s="142"/>
      <c r="AC44" s="142"/>
      <c r="AD44" s="142"/>
      <c r="AE44" s="142"/>
      <c r="AF44" s="142"/>
      <c r="AG44" s="142"/>
      <c r="AH44" s="142"/>
      <c r="AI44" s="142"/>
      <c r="AJ44" s="142"/>
      <c r="AK44" s="142"/>
      <c r="AL44" s="142"/>
      <c r="AM44" s="142"/>
      <c r="AN44" s="142"/>
    </row>
    <row r="45">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2"/>
      <c r="AJ45" s="142"/>
      <c r="AK45" s="142"/>
      <c r="AL45" s="142"/>
      <c r="AM45" s="142"/>
      <c r="AN45" s="142"/>
    </row>
    <row r="46">
      <c r="A46" s="396"/>
      <c r="B46" s="142"/>
      <c r="C46" s="142"/>
      <c r="D46" s="142"/>
      <c r="E46" s="142"/>
      <c r="F46" s="142"/>
      <c r="G46" s="142"/>
      <c r="H46" s="142"/>
      <c r="I46" s="142"/>
      <c r="J46" s="142"/>
      <c r="K46" s="142"/>
      <c r="L46" s="142"/>
      <c r="M46" s="142"/>
      <c r="N46" s="396"/>
      <c r="O46" s="142"/>
      <c r="P46" s="142"/>
      <c r="Q46" s="142"/>
      <c r="R46" s="142"/>
      <c r="S46" s="142"/>
      <c r="T46" s="142"/>
      <c r="U46" s="142"/>
      <c r="V46" s="142"/>
      <c r="W46" s="142"/>
      <c r="X46" s="142"/>
      <c r="Y46" s="142"/>
      <c r="Z46" s="142"/>
      <c r="AA46" s="142"/>
      <c r="AB46" s="142"/>
      <c r="AC46" s="142"/>
      <c r="AD46" s="142"/>
      <c r="AE46" s="142"/>
      <c r="AF46" s="142"/>
      <c r="AG46" s="142"/>
      <c r="AH46" s="142"/>
      <c r="AI46" s="142"/>
      <c r="AJ46" s="142"/>
      <c r="AK46" s="142"/>
      <c r="AL46" s="142"/>
      <c r="AM46" s="142"/>
      <c r="AN46" s="142"/>
    </row>
    <row r="47">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2"/>
      <c r="AJ47" s="142"/>
      <c r="AK47" s="142"/>
      <c r="AL47" s="142"/>
      <c r="AM47" s="142"/>
      <c r="AN47" s="142"/>
    </row>
    <row r="48">
      <c r="A48" s="396"/>
      <c r="B48" s="142"/>
      <c r="C48" s="142"/>
      <c r="D48" s="142"/>
      <c r="E48" s="142"/>
      <c r="F48" s="142"/>
      <c r="G48" s="142"/>
      <c r="H48" s="142"/>
      <c r="I48" s="142"/>
      <c r="J48" s="142"/>
      <c r="K48" s="142"/>
      <c r="L48" s="142"/>
      <c r="M48" s="142"/>
      <c r="N48" s="396"/>
      <c r="O48" s="142"/>
      <c r="P48" s="142"/>
      <c r="Q48" s="142"/>
      <c r="R48" s="142"/>
      <c r="S48" s="142"/>
      <c r="T48" s="142"/>
      <c r="U48" s="142"/>
      <c r="V48" s="142"/>
      <c r="W48" s="142"/>
      <c r="X48" s="142"/>
      <c r="Y48" s="142"/>
      <c r="Z48" s="142"/>
      <c r="AA48" s="142"/>
      <c r="AB48" s="142"/>
      <c r="AC48" s="142"/>
      <c r="AD48" s="142"/>
      <c r="AE48" s="142"/>
      <c r="AF48" s="142"/>
      <c r="AG48" s="142"/>
      <c r="AH48" s="142"/>
      <c r="AI48" s="142"/>
      <c r="AJ48" s="142"/>
      <c r="AK48" s="142"/>
      <c r="AL48" s="142"/>
      <c r="AM48" s="142"/>
      <c r="AN48" s="142"/>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row>
  </sheetData>
  <mergeCells count="123">
    <mergeCell ref="J17:M17"/>
    <mergeCell ref="O17:P17"/>
    <mergeCell ref="J11:M11"/>
    <mergeCell ref="O11:P11"/>
    <mergeCell ref="B12:M12"/>
    <mergeCell ref="B13:M13"/>
    <mergeCell ref="B15:M15"/>
    <mergeCell ref="C16:M16"/>
    <mergeCell ref="B17:C17"/>
    <mergeCell ref="B18:M18"/>
    <mergeCell ref="B19:M19"/>
    <mergeCell ref="C21:M21"/>
    <mergeCell ref="B22:C22"/>
    <mergeCell ref="D22:G22"/>
    <mergeCell ref="H22:I22"/>
    <mergeCell ref="O22:P22"/>
    <mergeCell ref="J27:M27"/>
    <mergeCell ref="O27:P27"/>
    <mergeCell ref="J22:M22"/>
    <mergeCell ref="B23:M23"/>
    <mergeCell ref="B24:M24"/>
    <mergeCell ref="C26:M26"/>
    <mergeCell ref="B27:C27"/>
    <mergeCell ref="D27:G27"/>
    <mergeCell ref="H27:I27"/>
    <mergeCell ref="J32:M32"/>
    <mergeCell ref="B33:M33"/>
    <mergeCell ref="B34:M34"/>
    <mergeCell ref="B28:M28"/>
    <mergeCell ref="B29:M29"/>
    <mergeCell ref="C31:M31"/>
    <mergeCell ref="B32:C32"/>
    <mergeCell ref="D32:G32"/>
    <mergeCell ref="H32:I32"/>
    <mergeCell ref="O32:P32"/>
    <mergeCell ref="Q11:T11"/>
    <mergeCell ref="U11:V11"/>
    <mergeCell ref="O12:Z12"/>
    <mergeCell ref="O13:Z13"/>
    <mergeCell ref="O15:Z15"/>
    <mergeCell ref="P16:Z16"/>
    <mergeCell ref="O18:Z18"/>
    <mergeCell ref="O19:Z19"/>
    <mergeCell ref="P21:Z21"/>
    <mergeCell ref="Q22:T22"/>
    <mergeCell ref="U22:V22"/>
    <mergeCell ref="W22:Z22"/>
    <mergeCell ref="AB22:AC22"/>
    <mergeCell ref="O23:Z23"/>
    <mergeCell ref="O29:Z29"/>
    <mergeCell ref="P31:Z31"/>
    <mergeCell ref="Q32:T32"/>
    <mergeCell ref="U32:V32"/>
    <mergeCell ref="W32:Z32"/>
    <mergeCell ref="AB32:AC32"/>
    <mergeCell ref="O33:Z33"/>
    <mergeCell ref="O34:Z34"/>
    <mergeCell ref="O24:Z24"/>
    <mergeCell ref="P26:Z26"/>
    <mergeCell ref="Q27:T27"/>
    <mergeCell ref="U27:V27"/>
    <mergeCell ref="W27:Z27"/>
    <mergeCell ref="AB27:AC27"/>
    <mergeCell ref="O28:Z28"/>
    <mergeCell ref="AH17:AI17"/>
    <mergeCell ref="AJ17:AM17"/>
    <mergeCell ref="AB18:AM18"/>
    <mergeCell ref="AB19:AM19"/>
    <mergeCell ref="AC21:AM21"/>
    <mergeCell ref="AD22:AG22"/>
    <mergeCell ref="AH22:AI22"/>
    <mergeCell ref="AC31:AM31"/>
    <mergeCell ref="AD32:AG32"/>
    <mergeCell ref="AH32:AI32"/>
    <mergeCell ref="AJ32:AM32"/>
    <mergeCell ref="AB33:AM33"/>
    <mergeCell ref="AB34:AM34"/>
    <mergeCell ref="AJ22:AM22"/>
    <mergeCell ref="AB23:AM23"/>
    <mergeCell ref="AB24:AM24"/>
    <mergeCell ref="AC26:AM26"/>
    <mergeCell ref="AD27:AG27"/>
    <mergeCell ref="AH27:AI27"/>
    <mergeCell ref="AJ27:AM27"/>
    <mergeCell ref="B2:D2"/>
    <mergeCell ref="E2:N2"/>
    <mergeCell ref="P2:T2"/>
    <mergeCell ref="U2:V3"/>
    <mergeCell ref="B3:D3"/>
    <mergeCell ref="E3:N3"/>
    <mergeCell ref="P3:T3"/>
    <mergeCell ref="B4:D4"/>
    <mergeCell ref="E4:N4"/>
    <mergeCell ref="P4:T4"/>
    <mergeCell ref="U4:V5"/>
    <mergeCell ref="P5:T5"/>
    <mergeCell ref="P6:T7"/>
    <mergeCell ref="U6:V7"/>
    <mergeCell ref="W11:Z11"/>
    <mergeCell ref="AB11:AC11"/>
    <mergeCell ref="AD11:AG11"/>
    <mergeCell ref="AH11:AI11"/>
    <mergeCell ref="AB12:AM12"/>
    <mergeCell ref="AB13:AM13"/>
    <mergeCell ref="AB15:AM15"/>
    <mergeCell ref="AC16:AM16"/>
    <mergeCell ref="B9:AM9"/>
    <mergeCell ref="C10:M10"/>
    <mergeCell ref="P10:Z10"/>
    <mergeCell ref="AC10:AM10"/>
    <mergeCell ref="B11:C11"/>
    <mergeCell ref="D11:G11"/>
    <mergeCell ref="H11:I11"/>
    <mergeCell ref="AJ11:AM11"/>
    <mergeCell ref="D17:G17"/>
    <mergeCell ref="H17:I17"/>
    <mergeCell ref="Q17:T17"/>
    <mergeCell ref="U17:V17"/>
    <mergeCell ref="W17:Z17"/>
    <mergeCell ref="AB17:AC17"/>
    <mergeCell ref="AD17:AG17"/>
    <mergeCell ref="AB28:AM28"/>
    <mergeCell ref="AB29:AM29"/>
  </mergeCells>
  <drawing r:id="rId1"/>
  <tableParts count="6">
    <tablePart r:id="rId8"/>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40" width="3.25"/>
  </cols>
  <sheetData>
    <row r="1">
      <c r="A1" s="24"/>
      <c r="B1" s="24"/>
      <c r="C1" s="24"/>
      <c r="D1" s="24"/>
      <c r="E1" s="24"/>
      <c r="F1" s="24"/>
      <c r="G1" s="24"/>
      <c r="H1" s="24"/>
      <c r="I1" s="24"/>
      <c r="J1" s="24"/>
      <c r="K1" s="24"/>
      <c r="L1" s="24"/>
      <c r="M1" s="24"/>
      <c r="N1" s="24"/>
      <c r="O1" s="24"/>
      <c r="P1" s="24"/>
      <c r="Q1" s="3"/>
      <c r="R1" s="3"/>
      <c r="S1" s="3"/>
      <c r="T1" s="3"/>
      <c r="U1" s="3"/>
      <c r="V1" s="3"/>
      <c r="W1" s="3"/>
      <c r="X1" s="3"/>
      <c r="Y1" s="3"/>
      <c r="Z1" s="3"/>
      <c r="AA1" s="3"/>
      <c r="AB1" s="3"/>
      <c r="AC1" s="3"/>
      <c r="AD1" s="3"/>
      <c r="AE1" s="3"/>
      <c r="AF1" s="3"/>
      <c r="AG1" s="3"/>
      <c r="AH1" s="3"/>
      <c r="AI1" s="24"/>
      <c r="AJ1" s="24"/>
      <c r="AK1" s="24"/>
      <c r="AL1" s="24"/>
      <c r="AM1" s="24"/>
      <c r="AN1" s="24"/>
    </row>
    <row r="2">
      <c r="A2" s="24"/>
      <c r="B2" s="413" t="s">
        <v>8</v>
      </c>
      <c r="C2" s="7"/>
      <c r="D2" s="5"/>
      <c r="E2" s="254" t="str">
        <f>Ficha!D4</f>
        <v>Uchiha</v>
      </c>
      <c r="F2" s="7"/>
      <c r="G2" s="7"/>
      <c r="H2" s="7"/>
      <c r="I2" s="7"/>
      <c r="J2" s="7"/>
      <c r="K2" s="7"/>
      <c r="L2" s="7"/>
      <c r="M2" s="7"/>
      <c r="N2" s="5"/>
      <c r="O2" s="24"/>
      <c r="P2" s="437"/>
      <c r="Q2" s="437"/>
      <c r="R2" s="437"/>
      <c r="S2" s="437"/>
      <c r="T2" s="437"/>
      <c r="U2" s="437"/>
      <c r="V2" s="437"/>
      <c r="W2" s="24"/>
      <c r="X2" s="24"/>
      <c r="Y2" s="24"/>
      <c r="Z2" s="24"/>
      <c r="AA2" s="24"/>
      <c r="AB2" s="24"/>
      <c r="AC2" s="24"/>
      <c r="AD2" s="24"/>
      <c r="AE2" s="24"/>
      <c r="AF2" s="24"/>
      <c r="AG2" s="24"/>
      <c r="AH2" s="24"/>
      <c r="AI2" s="24"/>
      <c r="AJ2" s="24"/>
      <c r="AK2" s="3"/>
      <c r="AL2" s="3"/>
      <c r="AM2" s="3"/>
      <c r="AN2" s="3"/>
    </row>
    <row r="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row>
    <row r="4">
      <c r="A4" s="142"/>
      <c r="B4" s="416" t="s">
        <v>278</v>
      </c>
      <c r="AN4" s="142"/>
    </row>
    <row r="5">
      <c r="A5" s="142"/>
      <c r="B5" s="417"/>
      <c r="C5" s="419" t="s">
        <v>287</v>
      </c>
      <c r="D5" s="31"/>
      <c r="E5" s="31"/>
      <c r="F5" s="31"/>
      <c r="G5" s="31"/>
      <c r="H5" s="31"/>
      <c r="I5" s="31"/>
      <c r="J5" s="31"/>
      <c r="K5" s="31"/>
      <c r="L5" s="31"/>
      <c r="M5" s="22"/>
      <c r="N5" s="408"/>
      <c r="O5" s="417"/>
      <c r="P5" s="430"/>
      <c r="Q5" s="7"/>
      <c r="R5" s="7"/>
      <c r="S5" s="138"/>
      <c r="T5" s="7"/>
      <c r="U5" s="7"/>
      <c r="V5" s="7"/>
      <c r="W5" s="7"/>
      <c r="X5" s="7"/>
      <c r="Y5" s="7"/>
      <c r="Z5" s="5"/>
      <c r="AA5" s="408"/>
      <c r="AB5" s="417"/>
      <c r="AC5" s="430"/>
      <c r="AD5" s="389"/>
      <c r="AE5" s="389"/>
      <c r="AF5" s="389"/>
      <c r="AG5" s="389"/>
      <c r="AH5" s="389"/>
      <c r="AI5" s="389"/>
      <c r="AJ5" s="389"/>
      <c r="AK5" s="389"/>
      <c r="AL5" s="389"/>
      <c r="AM5" s="390"/>
      <c r="AN5" s="142"/>
    </row>
    <row r="6">
      <c r="A6" s="142"/>
      <c r="B6" s="421" t="s">
        <v>282</v>
      </c>
      <c r="D6" s="422">
        <v>1.0</v>
      </c>
      <c r="H6" s="423" t="s">
        <v>283</v>
      </c>
      <c r="J6" s="408"/>
      <c r="M6" s="19"/>
      <c r="N6" s="408"/>
      <c r="O6" s="421" t="s">
        <v>282</v>
      </c>
      <c r="Q6" s="422">
        <v>1.0</v>
      </c>
      <c r="U6" s="423" t="s">
        <v>283</v>
      </c>
      <c r="W6" s="408"/>
      <c r="Z6" s="19"/>
      <c r="AA6" s="408"/>
      <c r="AB6" s="421" t="s">
        <v>282</v>
      </c>
      <c r="AD6" s="424"/>
      <c r="AH6" s="423" t="s">
        <v>283</v>
      </c>
      <c r="AJ6" s="408"/>
      <c r="AM6" s="425"/>
      <c r="AN6" s="142"/>
    </row>
    <row r="7">
      <c r="A7" s="142"/>
      <c r="B7" s="426" t="s">
        <v>284</v>
      </c>
      <c r="M7" s="19"/>
      <c r="N7" s="408"/>
      <c r="O7" s="426" t="s">
        <v>284</v>
      </c>
      <c r="Z7" s="19"/>
      <c r="AA7" s="408"/>
      <c r="AB7" s="426" t="s">
        <v>284</v>
      </c>
      <c r="AM7" s="427"/>
      <c r="AN7" s="142"/>
    </row>
    <row r="8">
      <c r="A8" s="142"/>
      <c r="B8" s="419" t="s">
        <v>288</v>
      </c>
      <c r="C8" s="31"/>
      <c r="D8" s="31"/>
      <c r="E8" s="31"/>
      <c r="F8" s="31"/>
      <c r="G8" s="31"/>
      <c r="H8" s="31"/>
      <c r="I8" s="31"/>
      <c r="J8" s="31"/>
      <c r="K8" s="31"/>
      <c r="L8" s="31"/>
      <c r="M8" s="22"/>
      <c r="N8" s="408"/>
      <c r="O8" s="419" t="s">
        <v>289</v>
      </c>
      <c r="P8" s="31"/>
      <c r="Q8" s="31"/>
      <c r="R8" s="31"/>
      <c r="S8" s="123"/>
      <c r="T8" s="31"/>
      <c r="U8" s="31"/>
      <c r="V8" s="31"/>
      <c r="W8" s="31"/>
      <c r="X8" s="31"/>
      <c r="Y8" s="31"/>
      <c r="Z8" s="22"/>
      <c r="AA8" s="408"/>
      <c r="AB8" s="431"/>
      <c r="AC8" s="428"/>
      <c r="AD8" s="428"/>
      <c r="AE8" s="428"/>
      <c r="AF8" s="428"/>
      <c r="AG8" s="428"/>
      <c r="AH8" s="428"/>
      <c r="AI8" s="428"/>
      <c r="AJ8" s="428"/>
      <c r="AK8" s="428"/>
      <c r="AL8" s="428"/>
      <c r="AM8" s="429"/>
      <c r="AN8" s="142"/>
    </row>
    <row r="9">
      <c r="A9" s="142"/>
      <c r="B9" s="408"/>
      <c r="C9" s="408"/>
      <c r="D9" s="408"/>
      <c r="E9" s="408"/>
      <c r="F9" s="408"/>
      <c r="G9" s="408"/>
      <c r="H9" s="408"/>
      <c r="I9" s="408"/>
      <c r="J9" s="408"/>
      <c r="K9" s="408"/>
      <c r="L9" s="408"/>
      <c r="M9" s="408"/>
      <c r="N9" s="408"/>
      <c r="O9" s="408"/>
      <c r="P9" s="408"/>
      <c r="Q9" s="408"/>
      <c r="R9" s="408"/>
      <c r="S9" s="408"/>
      <c r="T9" s="408"/>
      <c r="U9" s="408"/>
      <c r="V9" s="408"/>
      <c r="W9" s="408"/>
      <c r="X9" s="408"/>
      <c r="Y9" s="408"/>
      <c r="Z9" s="408"/>
      <c r="AA9" s="408"/>
      <c r="AB9" s="408"/>
      <c r="AC9" s="408"/>
      <c r="AD9" s="408"/>
      <c r="AE9" s="408"/>
      <c r="AF9" s="408"/>
      <c r="AG9" s="408"/>
      <c r="AH9" s="408"/>
      <c r="AI9" s="408"/>
      <c r="AJ9" s="408"/>
      <c r="AK9" s="408"/>
      <c r="AL9" s="408"/>
      <c r="AM9" s="408"/>
      <c r="AN9" s="142"/>
    </row>
    <row r="10">
      <c r="A10" s="142"/>
      <c r="B10" s="408"/>
      <c r="N10" s="408"/>
      <c r="O10" s="408"/>
      <c r="AA10" s="408"/>
      <c r="AB10" s="408"/>
      <c r="AN10" s="142"/>
    </row>
    <row r="11">
      <c r="A11" s="142"/>
      <c r="B11" s="417"/>
      <c r="C11" s="430"/>
      <c r="D11" s="7"/>
      <c r="E11" s="7"/>
      <c r="F11" s="7"/>
      <c r="G11" s="7"/>
      <c r="H11" s="7"/>
      <c r="I11" s="7"/>
      <c r="J11" s="7"/>
      <c r="K11" s="7"/>
      <c r="L11" s="7"/>
      <c r="M11" s="5"/>
      <c r="N11" s="408"/>
      <c r="O11" s="417"/>
      <c r="P11" s="430"/>
      <c r="Q11" s="7"/>
      <c r="R11" s="7"/>
      <c r="S11" s="138"/>
      <c r="T11" s="7"/>
      <c r="U11" s="7"/>
      <c r="V11" s="7"/>
      <c r="W11" s="7"/>
      <c r="X11" s="7"/>
      <c r="Y11" s="7"/>
      <c r="Z11" s="5"/>
      <c r="AA11" s="408"/>
      <c r="AB11" s="417"/>
      <c r="AC11" s="430"/>
      <c r="AD11" s="400"/>
      <c r="AE11" s="400"/>
      <c r="AF11" s="400"/>
      <c r="AG11" s="400"/>
      <c r="AH11" s="400"/>
      <c r="AI11" s="400"/>
      <c r="AJ11" s="400"/>
      <c r="AK11" s="400"/>
      <c r="AL11" s="400"/>
      <c r="AM11" s="401"/>
      <c r="AN11" s="142"/>
    </row>
    <row r="12">
      <c r="A12" s="142"/>
      <c r="B12" s="421" t="s">
        <v>282</v>
      </c>
      <c r="D12" s="424"/>
      <c r="H12" s="423" t="s">
        <v>283</v>
      </c>
      <c r="J12" s="408"/>
      <c r="M12" s="19"/>
      <c r="N12" s="408"/>
      <c r="O12" s="421" t="s">
        <v>282</v>
      </c>
      <c r="Q12" s="424"/>
      <c r="U12" s="423" t="s">
        <v>283</v>
      </c>
      <c r="W12" s="408"/>
      <c r="Z12" s="19"/>
      <c r="AA12" s="408"/>
      <c r="AB12" s="421" t="s">
        <v>282</v>
      </c>
      <c r="AD12" s="424"/>
      <c r="AH12" s="423" t="s">
        <v>283</v>
      </c>
      <c r="AJ12" s="408"/>
      <c r="AM12" s="425"/>
      <c r="AN12" s="142"/>
    </row>
    <row r="13">
      <c r="A13" s="142"/>
      <c r="B13" s="426" t="s">
        <v>284</v>
      </c>
      <c r="M13" s="19"/>
      <c r="N13" s="408"/>
      <c r="O13" s="426" t="s">
        <v>284</v>
      </c>
      <c r="Z13" s="19"/>
      <c r="AA13" s="408"/>
      <c r="AB13" s="426" t="s">
        <v>284</v>
      </c>
      <c r="AM13" s="427"/>
      <c r="AN13" s="142"/>
    </row>
    <row r="14">
      <c r="A14" s="142"/>
      <c r="B14" s="431"/>
      <c r="C14" s="31"/>
      <c r="D14" s="31"/>
      <c r="E14" s="31"/>
      <c r="F14" s="31"/>
      <c r="G14" s="31"/>
      <c r="H14" s="31"/>
      <c r="I14" s="31"/>
      <c r="J14" s="31"/>
      <c r="K14" s="31"/>
      <c r="L14" s="31"/>
      <c r="M14" s="22"/>
      <c r="N14" s="408"/>
      <c r="O14" s="431"/>
      <c r="P14" s="31"/>
      <c r="Q14" s="31"/>
      <c r="R14" s="31"/>
      <c r="S14" s="123"/>
      <c r="T14" s="31"/>
      <c r="U14" s="31"/>
      <c r="V14" s="31"/>
      <c r="W14" s="31"/>
      <c r="X14" s="31"/>
      <c r="Y14" s="31"/>
      <c r="Z14" s="22"/>
      <c r="AA14" s="408"/>
      <c r="AB14" s="431"/>
      <c r="AC14" s="428"/>
      <c r="AD14" s="428"/>
      <c r="AE14" s="428"/>
      <c r="AF14" s="428"/>
      <c r="AG14" s="428"/>
      <c r="AH14" s="428"/>
      <c r="AI14" s="428"/>
      <c r="AJ14" s="428"/>
      <c r="AK14" s="428"/>
      <c r="AL14" s="428"/>
      <c r="AM14" s="429"/>
      <c r="AN14" s="142"/>
    </row>
    <row r="15">
      <c r="A15" s="396"/>
      <c r="B15" s="408"/>
      <c r="C15" s="408"/>
      <c r="D15" s="408"/>
      <c r="E15" s="408"/>
      <c r="F15" s="408"/>
      <c r="G15" s="408"/>
      <c r="H15" s="408"/>
      <c r="I15" s="408"/>
      <c r="J15" s="408"/>
      <c r="K15" s="408"/>
      <c r="L15" s="408"/>
      <c r="M15" s="408"/>
      <c r="N15" s="408"/>
      <c r="O15" s="408"/>
      <c r="P15" s="408"/>
      <c r="Q15" s="408"/>
      <c r="R15" s="408"/>
      <c r="S15" s="408"/>
      <c r="T15" s="408"/>
      <c r="U15" s="408"/>
      <c r="V15" s="408"/>
      <c r="W15" s="408"/>
      <c r="X15" s="408"/>
      <c r="Y15" s="408"/>
      <c r="Z15" s="408"/>
      <c r="AA15" s="408"/>
      <c r="AB15" s="408"/>
      <c r="AC15" s="408"/>
      <c r="AD15" s="408"/>
      <c r="AE15" s="408"/>
      <c r="AF15" s="408"/>
      <c r="AG15" s="408"/>
      <c r="AH15" s="408"/>
      <c r="AI15" s="408"/>
      <c r="AJ15" s="408"/>
      <c r="AK15" s="408"/>
      <c r="AL15" s="408"/>
      <c r="AM15" s="408"/>
      <c r="AN15" s="142"/>
    </row>
    <row r="16">
      <c r="A16" s="142"/>
      <c r="B16" s="417"/>
      <c r="C16" s="430"/>
      <c r="D16" s="406"/>
      <c r="E16" s="406"/>
      <c r="F16" s="406"/>
      <c r="G16" s="406"/>
      <c r="H16" s="406"/>
      <c r="I16" s="406"/>
      <c r="J16" s="406"/>
      <c r="K16" s="406"/>
      <c r="L16" s="406"/>
      <c r="M16" s="407"/>
      <c r="N16" s="408"/>
      <c r="O16" s="417"/>
      <c r="P16" s="430"/>
      <c r="Q16" s="7"/>
      <c r="R16" s="7"/>
      <c r="S16" s="7"/>
      <c r="T16" s="7"/>
      <c r="U16" s="7"/>
      <c r="V16" s="7"/>
      <c r="W16" s="7"/>
      <c r="X16" s="7"/>
      <c r="Y16" s="7"/>
      <c r="Z16" s="5"/>
      <c r="AA16" s="408"/>
      <c r="AB16" s="417"/>
      <c r="AC16" s="430"/>
      <c r="AD16" s="7"/>
      <c r="AE16" s="7"/>
      <c r="AF16" s="7"/>
      <c r="AG16" s="7"/>
      <c r="AH16" s="7"/>
      <c r="AI16" s="7"/>
      <c r="AJ16" s="7"/>
      <c r="AK16" s="7"/>
      <c r="AL16" s="7"/>
      <c r="AM16" s="5"/>
      <c r="AN16" s="142"/>
    </row>
    <row r="17">
      <c r="A17" s="396"/>
      <c r="B17" s="421" t="s">
        <v>282</v>
      </c>
      <c r="D17" s="424"/>
      <c r="H17" s="423" t="s">
        <v>283</v>
      </c>
      <c r="J17" s="408"/>
      <c r="M17" s="427"/>
      <c r="N17" s="408"/>
      <c r="O17" s="421" t="s">
        <v>282</v>
      </c>
      <c r="Q17" s="424"/>
      <c r="U17" s="423" t="s">
        <v>283</v>
      </c>
      <c r="W17" s="408"/>
      <c r="Z17" s="19"/>
      <c r="AA17" s="408"/>
      <c r="AB17" s="421" t="s">
        <v>282</v>
      </c>
      <c r="AD17" s="424"/>
      <c r="AH17" s="423" t="s">
        <v>283</v>
      </c>
      <c r="AJ17" s="408"/>
      <c r="AM17" s="19"/>
      <c r="AN17" s="142"/>
    </row>
    <row r="18">
      <c r="A18" s="142"/>
      <c r="B18" s="426" t="s">
        <v>284</v>
      </c>
      <c r="M18" s="425"/>
      <c r="N18" s="408"/>
      <c r="O18" s="426" t="s">
        <v>284</v>
      </c>
      <c r="Z18" s="19"/>
      <c r="AA18" s="408"/>
      <c r="AB18" s="426" t="s">
        <v>284</v>
      </c>
      <c r="AM18" s="19"/>
      <c r="AN18" s="142"/>
    </row>
    <row r="19">
      <c r="A19" s="142"/>
      <c r="B19" s="431"/>
      <c r="C19" s="435"/>
      <c r="D19" s="435"/>
      <c r="E19" s="435"/>
      <c r="F19" s="435"/>
      <c r="G19" s="435"/>
      <c r="H19" s="435"/>
      <c r="I19" s="435"/>
      <c r="J19" s="435"/>
      <c r="K19" s="435"/>
      <c r="L19" s="435"/>
      <c r="M19" s="436"/>
      <c r="N19" s="408"/>
      <c r="O19" s="431"/>
      <c r="P19" s="31"/>
      <c r="Q19" s="31"/>
      <c r="R19" s="31"/>
      <c r="S19" s="31"/>
      <c r="T19" s="31"/>
      <c r="U19" s="31"/>
      <c r="V19" s="31"/>
      <c r="W19" s="31"/>
      <c r="X19" s="31"/>
      <c r="Y19" s="31"/>
      <c r="Z19" s="22"/>
      <c r="AA19" s="408"/>
      <c r="AB19" s="431"/>
      <c r="AC19" s="31"/>
      <c r="AD19" s="31"/>
      <c r="AE19" s="31"/>
      <c r="AF19" s="31"/>
      <c r="AG19" s="31"/>
      <c r="AH19" s="31"/>
      <c r="AI19" s="31"/>
      <c r="AJ19" s="31"/>
      <c r="AK19" s="31"/>
      <c r="AL19" s="31"/>
      <c r="AM19" s="22"/>
      <c r="AN19" s="142"/>
    </row>
    <row r="20">
      <c r="A20" s="142"/>
      <c r="B20" s="408"/>
      <c r="C20" s="408"/>
      <c r="D20" s="408"/>
      <c r="E20" s="408"/>
      <c r="F20" s="408"/>
      <c r="G20" s="408"/>
      <c r="H20" s="408"/>
      <c r="I20" s="408"/>
      <c r="J20" s="408"/>
      <c r="K20" s="408"/>
      <c r="L20" s="408"/>
      <c r="M20" s="408"/>
      <c r="N20" s="408"/>
      <c r="O20" s="408"/>
      <c r="P20" s="408"/>
      <c r="Q20" s="408"/>
      <c r="R20" s="408"/>
      <c r="S20" s="408"/>
      <c r="T20" s="408"/>
      <c r="U20" s="408"/>
      <c r="V20" s="408"/>
      <c r="W20" s="408"/>
      <c r="X20" s="408"/>
      <c r="Y20" s="408"/>
      <c r="Z20" s="408"/>
      <c r="AA20" s="408"/>
      <c r="AB20" s="408"/>
      <c r="AC20" s="408"/>
      <c r="AD20" s="408"/>
      <c r="AE20" s="408"/>
      <c r="AF20" s="408"/>
      <c r="AG20" s="408"/>
      <c r="AH20" s="408"/>
      <c r="AI20" s="408"/>
      <c r="AJ20" s="408"/>
      <c r="AK20" s="408"/>
      <c r="AL20" s="408"/>
      <c r="AM20" s="408"/>
      <c r="AN20" s="142"/>
    </row>
    <row r="21" ht="15.0" customHeight="1">
      <c r="A21" s="142"/>
      <c r="B21" s="417"/>
      <c r="C21" s="430"/>
      <c r="D21" s="400"/>
      <c r="E21" s="400"/>
      <c r="F21" s="400"/>
      <c r="G21" s="400"/>
      <c r="H21" s="400"/>
      <c r="I21" s="400"/>
      <c r="J21" s="400"/>
      <c r="K21" s="400"/>
      <c r="L21" s="400"/>
      <c r="M21" s="401"/>
      <c r="N21" s="408"/>
      <c r="O21" s="417"/>
      <c r="P21" s="430"/>
      <c r="Q21" s="7"/>
      <c r="R21" s="7"/>
      <c r="S21" s="7"/>
      <c r="T21" s="7"/>
      <c r="U21" s="7"/>
      <c r="V21" s="7"/>
      <c r="W21" s="7"/>
      <c r="X21" s="7"/>
      <c r="Y21" s="7"/>
      <c r="Z21" s="5"/>
      <c r="AA21" s="408"/>
      <c r="AB21" s="417"/>
      <c r="AC21" s="430"/>
      <c r="AD21" s="7"/>
      <c r="AE21" s="7"/>
      <c r="AF21" s="7"/>
      <c r="AG21" s="7"/>
      <c r="AH21" s="7"/>
      <c r="AI21" s="7"/>
      <c r="AJ21" s="7"/>
      <c r="AK21" s="7"/>
      <c r="AL21" s="7"/>
      <c r="AM21" s="5"/>
      <c r="AN21" s="142"/>
    </row>
    <row r="22" ht="15.0" customHeight="1">
      <c r="A22" s="142"/>
      <c r="B22" s="421" t="s">
        <v>282</v>
      </c>
      <c r="D22" s="424"/>
      <c r="H22" s="423" t="s">
        <v>283</v>
      </c>
      <c r="J22" s="408"/>
      <c r="M22" s="425"/>
      <c r="N22" s="408"/>
      <c r="O22" s="421" t="s">
        <v>282</v>
      </c>
      <c r="Q22" s="424"/>
      <c r="U22" s="423" t="s">
        <v>283</v>
      </c>
      <c r="W22" s="408"/>
      <c r="Z22" s="19"/>
      <c r="AA22" s="408"/>
      <c r="AB22" s="421" t="s">
        <v>282</v>
      </c>
      <c r="AD22" s="424"/>
      <c r="AH22" s="423" t="s">
        <v>283</v>
      </c>
      <c r="AJ22" s="408"/>
      <c r="AM22" s="19"/>
      <c r="AN22" s="142"/>
    </row>
    <row r="23">
      <c r="A23" s="142"/>
      <c r="B23" s="426" t="s">
        <v>284</v>
      </c>
      <c r="M23" s="427"/>
      <c r="N23" s="408"/>
      <c r="O23" s="426" t="s">
        <v>284</v>
      </c>
      <c r="Z23" s="19"/>
      <c r="AA23" s="408"/>
      <c r="AB23" s="426" t="s">
        <v>284</v>
      </c>
      <c r="AM23" s="19"/>
      <c r="AN23" s="142"/>
    </row>
    <row r="24">
      <c r="A24" s="396"/>
      <c r="B24" s="431"/>
      <c r="C24" s="428"/>
      <c r="D24" s="428"/>
      <c r="E24" s="428"/>
      <c r="F24" s="428"/>
      <c r="G24" s="428"/>
      <c r="H24" s="428"/>
      <c r="I24" s="428"/>
      <c r="J24" s="428"/>
      <c r="K24" s="428"/>
      <c r="L24" s="428"/>
      <c r="M24" s="429"/>
      <c r="N24" s="408"/>
      <c r="O24" s="431"/>
      <c r="P24" s="31"/>
      <c r="Q24" s="31"/>
      <c r="R24" s="31"/>
      <c r="S24" s="31"/>
      <c r="T24" s="31"/>
      <c r="U24" s="31"/>
      <c r="V24" s="31"/>
      <c r="W24" s="31"/>
      <c r="X24" s="31"/>
      <c r="Y24" s="31"/>
      <c r="Z24" s="22"/>
      <c r="AA24" s="408"/>
      <c r="AB24" s="431"/>
      <c r="AC24" s="31"/>
      <c r="AD24" s="31"/>
      <c r="AE24" s="31"/>
      <c r="AF24" s="31"/>
      <c r="AG24" s="31"/>
      <c r="AH24" s="31"/>
      <c r="AI24" s="31"/>
      <c r="AJ24" s="31"/>
      <c r="AK24" s="31"/>
      <c r="AL24" s="31"/>
      <c r="AM24" s="22"/>
      <c r="AN24" s="142"/>
    </row>
    <row r="25">
      <c r="A25" s="142"/>
      <c r="B25" s="408"/>
      <c r="C25" s="408"/>
      <c r="D25" s="408"/>
      <c r="E25" s="408"/>
      <c r="F25" s="408"/>
      <c r="G25" s="408"/>
      <c r="H25" s="408"/>
      <c r="I25" s="408"/>
      <c r="J25" s="408"/>
      <c r="K25" s="408"/>
      <c r="L25" s="408"/>
      <c r="M25" s="408"/>
      <c r="N25" s="408"/>
      <c r="O25" s="408"/>
      <c r="P25" s="408"/>
      <c r="Q25" s="408"/>
      <c r="R25" s="408"/>
      <c r="S25" s="408"/>
      <c r="T25" s="408"/>
      <c r="U25" s="408"/>
      <c r="V25" s="408"/>
      <c r="W25" s="408"/>
      <c r="X25" s="408"/>
      <c r="Y25" s="408"/>
      <c r="Z25" s="408"/>
      <c r="AA25" s="408"/>
      <c r="AB25" s="408"/>
      <c r="AC25" s="408"/>
      <c r="AD25" s="408"/>
      <c r="AE25" s="408"/>
      <c r="AF25" s="408"/>
      <c r="AG25" s="408"/>
      <c r="AH25" s="408"/>
      <c r="AI25" s="408"/>
      <c r="AJ25" s="408"/>
      <c r="AK25" s="408"/>
      <c r="AL25" s="408"/>
      <c r="AM25" s="408"/>
      <c r="AN25" s="142"/>
    </row>
    <row r="26">
      <c r="A26" s="142"/>
      <c r="B26" s="417"/>
      <c r="C26" s="430"/>
      <c r="D26" s="406"/>
      <c r="E26" s="406"/>
      <c r="F26" s="406"/>
      <c r="G26" s="406"/>
      <c r="H26" s="406"/>
      <c r="I26" s="406"/>
      <c r="J26" s="406"/>
      <c r="K26" s="406"/>
      <c r="L26" s="406"/>
      <c r="M26" s="407"/>
      <c r="N26" s="408"/>
      <c r="O26" s="417"/>
      <c r="P26" s="430"/>
      <c r="Q26" s="406"/>
      <c r="R26" s="406"/>
      <c r="S26" s="406"/>
      <c r="T26" s="406"/>
      <c r="U26" s="406"/>
      <c r="V26" s="406"/>
      <c r="W26" s="406"/>
      <c r="X26" s="406"/>
      <c r="Y26" s="406"/>
      <c r="Z26" s="407"/>
      <c r="AA26" s="408"/>
      <c r="AB26" s="417"/>
      <c r="AC26" s="430"/>
      <c r="AD26" s="406"/>
      <c r="AE26" s="406"/>
      <c r="AF26" s="406"/>
      <c r="AG26" s="406"/>
      <c r="AH26" s="406"/>
      <c r="AI26" s="406"/>
      <c r="AJ26" s="406"/>
      <c r="AK26" s="406"/>
      <c r="AL26" s="406"/>
      <c r="AM26" s="407"/>
      <c r="AN26" s="142"/>
    </row>
    <row r="27">
      <c r="A27" s="142"/>
      <c r="B27" s="421" t="s">
        <v>282</v>
      </c>
      <c r="D27" s="424"/>
      <c r="H27" s="423" t="s">
        <v>283</v>
      </c>
      <c r="J27" s="408"/>
      <c r="M27" s="427"/>
      <c r="N27" s="408"/>
      <c r="O27" s="421" t="s">
        <v>282</v>
      </c>
      <c r="Q27" s="424"/>
      <c r="U27" s="423" t="s">
        <v>283</v>
      </c>
      <c r="W27" s="408"/>
      <c r="Z27" s="427"/>
      <c r="AA27" s="408"/>
      <c r="AB27" s="421" t="s">
        <v>282</v>
      </c>
      <c r="AD27" s="424"/>
      <c r="AH27" s="423" t="s">
        <v>283</v>
      </c>
      <c r="AJ27" s="408"/>
      <c r="AM27" s="427"/>
      <c r="AN27" s="142"/>
    </row>
    <row r="28">
      <c r="A28" s="142"/>
      <c r="B28" s="426" t="s">
        <v>284</v>
      </c>
      <c r="M28" s="425"/>
      <c r="N28" s="408"/>
      <c r="O28" s="426" t="s">
        <v>284</v>
      </c>
      <c r="Z28" s="425"/>
      <c r="AA28" s="408"/>
      <c r="AB28" s="426" t="s">
        <v>284</v>
      </c>
      <c r="AM28" s="425"/>
      <c r="AN28" s="142"/>
    </row>
    <row r="29">
      <c r="A29" s="142"/>
      <c r="B29" s="431"/>
      <c r="C29" s="435"/>
      <c r="D29" s="435"/>
      <c r="E29" s="435"/>
      <c r="F29" s="435"/>
      <c r="G29" s="435"/>
      <c r="H29" s="435"/>
      <c r="I29" s="435"/>
      <c r="J29" s="435"/>
      <c r="K29" s="435"/>
      <c r="L29" s="435"/>
      <c r="M29" s="436"/>
      <c r="N29" s="408"/>
      <c r="O29" s="431"/>
      <c r="P29" s="435"/>
      <c r="Q29" s="435"/>
      <c r="R29" s="435"/>
      <c r="S29" s="435"/>
      <c r="T29" s="435"/>
      <c r="U29" s="435"/>
      <c r="V29" s="435"/>
      <c r="W29" s="435"/>
      <c r="X29" s="435"/>
      <c r="Y29" s="435"/>
      <c r="Z29" s="436"/>
      <c r="AA29" s="408"/>
      <c r="AB29" s="431"/>
      <c r="AC29" s="435"/>
      <c r="AD29" s="435"/>
      <c r="AE29" s="435"/>
      <c r="AF29" s="435"/>
      <c r="AG29" s="435"/>
      <c r="AH29" s="435"/>
      <c r="AI29" s="435"/>
      <c r="AJ29" s="435"/>
      <c r="AK29" s="435"/>
      <c r="AL29" s="435"/>
      <c r="AM29" s="436"/>
      <c r="AN29" s="142"/>
    </row>
    <row r="30">
      <c r="A30" s="142"/>
      <c r="B30" s="408"/>
      <c r="C30" s="408"/>
      <c r="D30" s="408"/>
      <c r="E30" s="408"/>
      <c r="F30" s="408"/>
      <c r="G30" s="408"/>
      <c r="H30" s="408"/>
      <c r="I30" s="408"/>
      <c r="J30" s="408"/>
      <c r="K30" s="408"/>
      <c r="L30" s="408"/>
      <c r="M30" s="408"/>
      <c r="N30" s="408"/>
      <c r="O30" s="408"/>
      <c r="P30" s="408"/>
      <c r="Q30" s="408"/>
      <c r="R30" s="408"/>
      <c r="S30" s="408"/>
      <c r="T30" s="408"/>
      <c r="U30" s="408"/>
      <c r="V30" s="408"/>
      <c r="W30" s="408"/>
      <c r="X30" s="408"/>
      <c r="Y30" s="408"/>
      <c r="Z30" s="408"/>
      <c r="AA30" s="408"/>
      <c r="AB30" s="408"/>
      <c r="AC30" s="408"/>
      <c r="AD30" s="408"/>
      <c r="AE30" s="408"/>
      <c r="AF30" s="408"/>
      <c r="AG30" s="408"/>
      <c r="AH30" s="408"/>
      <c r="AI30" s="408"/>
      <c r="AJ30" s="408"/>
      <c r="AK30" s="408"/>
      <c r="AL30" s="408"/>
      <c r="AM30" s="408"/>
      <c r="AN30" s="142"/>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row>
  </sheetData>
  <mergeCells count="111">
    <mergeCell ref="D6:G6"/>
    <mergeCell ref="H6:I6"/>
    <mergeCell ref="B7:M7"/>
    <mergeCell ref="B8:M8"/>
    <mergeCell ref="B10:M10"/>
    <mergeCell ref="C11:M11"/>
    <mergeCell ref="B12:C12"/>
    <mergeCell ref="J17:M17"/>
    <mergeCell ref="O17:P17"/>
    <mergeCell ref="J12:M12"/>
    <mergeCell ref="B13:M13"/>
    <mergeCell ref="B14:M14"/>
    <mergeCell ref="C16:M16"/>
    <mergeCell ref="B17:C17"/>
    <mergeCell ref="D17:G17"/>
    <mergeCell ref="H17:I17"/>
    <mergeCell ref="B18:M18"/>
    <mergeCell ref="B19:M19"/>
    <mergeCell ref="C21:M21"/>
    <mergeCell ref="B22:C22"/>
    <mergeCell ref="D22:G22"/>
    <mergeCell ref="H22:I22"/>
    <mergeCell ref="O22:P22"/>
    <mergeCell ref="J27:M27"/>
    <mergeCell ref="O27:P27"/>
    <mergeCell ref="B28:M28"/>
    <mergeCell ref="B29:M29"/>
    <mergeCell ref="J22:M22"/>
    <mergeCell ref="B23:M23"/>
    <mergeCell ref="B24:M24"/>
    <mergeCell ref="C26:M26"/>
    <mergeCell ref="B27:C27"/>
    <mergeCell ref="D27:G27"/>
    <mergeCell ref="H27:I27"/>
    <mergeCell ref="AH17:AI17"/>
    <mergeCell ref="AJ17:AM17"/>
    <mergeCell ref="AD12:AG12"/>
    <mergeCell ref="AH12:AI12"/>
    <mergeCell ref="AJ12:AM12"/>
    <mergeCell ref="AB13:AM13"/>
    <mergeCell ref="AB14:AM14"/>
    <mergeCell ref="AC16:AM16"/>
    <mergeCell ref="AD17:AG17"/>
    <mergeCell ref="O14:Z14"/>
    <mergeCell ref="P16:Z16"/>
    <mergeCell ref="Q17:T17"/>
    <mergeCell ref="U17:V17"/>
    <mergeCell ref="W17:Z17"/>
    <mergeCell ref="AB17:AC17"/>
    <mergeCell ref="AB18:AM18"/>
    <mergeCell ref="O23:Z23"/>
    <mergeCell ref="O24:Z24"/>
    <mergeCell ref="P26:Z26"/>
    <mergeCell ref="Q27:T27"/>
    <mergeCell ref="U27:V27"/>
    <mergeCell ref="W27:Z27"/>
    <mergeCell ref="O28:Z28"/>
    <mergeCell ref="O29:Z29"/>
    <mergeCell ref="O18:Z18"/>
    <mergeCell ref="O19:Z19"/>
    <mergeCell ref="P21:Z21"/>
    <mergeCell ref="Q22:T22"/>
    <mergeCell ref="U22:V22"/>
    <mergeCell ref="W22:Z22"/>
    <mergeCell ref="AB22:AC22"/>
    <mergeCell ref="AD27:AG27"/>
    <mergeCell ref="AH27:AI27"/>
    <mergeCell ref="AJ27:AM27"/>
    <mergeCell ref="AB28:AM28"/>
    <mergeCell ref="AB29:AM29"/>
    <mergeCell ref="AD22:AG22"/>
    <mergeCell ref="AH22:AI22"/>
    <mergeCell ref="AJ22:AM22"/>
    <mergeCell ref="AB23:AM23"/>
    <mergeCell ref="AB24:AM24"/>
    <mergeCell ref="AC26:AM26"/>
    <mergeCell ref="AB27:AC27"/>
    <mergeCell ref="J6:M6"/>
    <mergeCell ref="O6:P6"/>
    <mergeCell ref="W6:Z6"/>
    <mergeCell ref="AB6:AC6"/>
    <mergeCell ref="AD6:AG6"/>
    <mergeCell ref="AH6:AI6"/>
    <mergeCell ref="AB7:AM7"/>
    <mergeCell ref="AB8:AM8"/>
    <mergeCell ref="AB10:AM10"/>
    <mergeCell ref="AC11:AM11"/>
    <mergeCell ref="B2:D2"/>
    <mergeCell ref="E2:N2"/>
    <mergeCell ref="B4:AM4"/>
    <mergeCell ref="C5:M5"/>
    <mergeCell ref="P5:Z5"/>
    <mergeCell ref="AC5:AM5"/>
    <mergeCell ref="B6:C6"/>
    <mergeCell ref="AJ6:AM6"/>
    <mergeCell ref="D12:G12"/>
    <mergeCell ref="H12:I12"/>
    <mergeCell ref="O12:P12"/>
    <mergeCell ref="Q12:T12"/>
    <mergeCell ref="U12:V12"/>
    <mergeCell ref="W12:Z12"/>
    <mergeCell ref="AB12:AC12"/>
    <mergeCell ref="Q6:T6"/>
    <mergeCell ref="U6:V6"/>
    <mergeCell ref="O7:Z7"/>
    <mergeCell ref="O8:Z8"/>
    <mergeCell ref="O10:Z10"/>
    <mergeCell ref="P11:Z11"/>
    <mergeCell ref="O13:Z13"/>
    <mergeCell ref="AB19:AM19"/>
    <mergeCell ref="AC21:AM2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40" width="3.25"/>
  </cols>
  <sheetData>
    <row r="1">
      <c r="A1" s="24"/>
      <c r="B1" s="24"/>
      <c r="C1" s="24"/>
      <c r="D1" s="24"/>
      <c r="E1" s="24"/>
      <c r="F1" s="24"/>
      <c r="G1" s="24"/>
      <c r="H1" s="24"/>
      <c r="I1" s="24"/>
      <c r="J1" s="24"/>
      <c r="K1" s="24"/>
      <c r="L1" s="24"/>
      <c r="M1" s="24"/>
      <c r="N1" s="24"/>
      <c r="O1" s="24"/>
      <c r="P1" s="24"/>
      <c r="Q1" s="3"/>
      <c r="R1" s="3"/>
      <c r="S1" s="3"/>
      <c r="T1" s="3"/>
      <c r="U1" s="3"/>
      <c r="V1" s="3"/>
      <c r="W1" s="3"/>
      <c r="X1" s="3"/>
      <c r="Y1" s="3"/>
      <c r="Z1" s="3"/>
      <c r="AA1" s="3"/>
      <c r="AB1" s="3"/>
      <c r="AC1" s="3"/>
      <c r="AD1" s="3"/>
      <c r="AE1" s="3"/>
      <c r="AF1" s="3"/>
      <c r="AG1" s="3"/>
      <c r="AH1" s="3"/>
      <c r="AI1" s="24"/>
      <c r="AJ1" s="24"/>
      <c r="AK1" s="24"/>
      <c r="AL1" s="24"/>
      <c r="AM1" s="24"/>
      <c r="AN1" s="24"/>
    </row>
    <row r="2">
      <c r="A2" s="24"/>
      <c r="B2" s="438" t="s">
        <v>290</v>
      </c>
      <c r="C2" s="352"/>
      <c r="D2" s="352"/>
      <c r="E2" s="352"/>
      <c r="F2" s="352"/>
      <c r="G2" s="352"/>
      <c r="H2" s="352"/>
      <c r="I2" s="352"/>
      <c r="J2" s="352"/>
      <c r="K2" s="352"/>
      <c r="L2" s="352"/>
      <c r="M2" s="352"/>
      <c r="N2" s="352"/>
      <c r="O2" s="352"/>
      <c r="P2" s="352"/>
      <c r="Q2" s="352"/>
      <c r="R2" s="352"/>
      <c r="S2" s="352"/>
      <c r="T2" s="437"/>
      <c r="U2" s="437"/>
      <c r="V2" s="437"/>
      <c r="W2" s="24"/>
      <c r="X2" s="24"/>
      <c r="Y2" s="24"/>
      <c r="Z2" s="24"/>
      <c r="AA2" s="24"/>
      <c r="AB2" s="24"/>
      <c r="AC2" s="24"/>
      <c r="AD2" s="24"/>
      <c r="AE2" s="24"/>
      <c r="AF2" s="24"/>
      <c r="AG2" s="24"/>
      <c r="AH2" s="24"/>
      <c r="AI2" s="24"/>
      <c r="AJ2" s="24"/>
      <c r="AK2" s="3"/>
      <c r="AL2" s="3"/>
      <c r="AM2" s="3"/>
      <c r="AN2" s="3"/>
    </row>
    <row r="3">
      <c r="A3" s="24"/>
      <c r="B3" s="439" t="s">
        <v>291</v>
      </c>
      <c r="C3" s="5"/>
      <c r="D3" s="440"/>
      <c r="E3" s="441" t="s">
        <v>292</v>
      </c>
      <c r="F3" s="5"/>
      <c r="G3" s="440"/>
      <c r="H3" s="442" t="s">
        <v>293</v>
      </c>
      <c r="I3" s="5"/>
      <c r="J3" s="440"/>
      <c r="K3" s="443" t="s">
        <v>294</v>
      </c>
      <c r="L3" s="5"/>
      <c r="M3" s="440"/>
      <c r="N3" s="444" t="s">
        <v>295</v>
      </c>
      <c r="O3" s="5"/>
      <c r="P3" s="440"/>
      <c r="Q3" s="445" t="s">
        <v>296</v>
      </c>
      <c r="R3" s="5"/>
      <c r="S3" s="440"/>
      <c r="T3" s="24"/>
      <c r="U3" s="24"/>
      <c r="V3" s="24"/>
      <c r="W3" s="24"/>
      <c r="X3" s="24"/>
      <c r="Y3" s="24"/>
      <c r="Z3" s="24"/>
      <c r="AA3" s="24"/>
      <c r="AB3" s="24"/>
      <c r="AC3" s="24"/>
      <c r="AD3" s="24"/>
      <c r="AE3" s="24"/>
      <c r="AF3" s="24"/>
      <c r="AG3" s="24"/>
      <c r="AH3" s="24"/>
      <c r="AI3" s="24"/>
      <c r="AJ3" s="24"/>
      <c r="AK3" s="24"/>
      <c r="AL3" s="24"/>
      <c r="AM3" s="24"/>
      <c r="AN3" s="24"/>
    </row>
    <row r="4">
      <c r="A4" s="24"/>
      <c r="B4" s="446"/>
      <c r="C4" s="446"/>
      <c r="D4" s="142"/>
      <c r="E4" s="446"/>
      <c r="F4" s="446"/>
      <c r="G4" s="142"/>
      <c r="H4" s="446"/>
      <c r="I4" s="446"/>
      <c r="J4" s="142"/>
      <c r="K4" s="446"/>
      <c r="L4" s="446"/>
      <c r="M4" s="142"/>
      <c r="N4" s="446"/>
      <c r="O4" s="446"/>
      <c r="P4" s="142"/>
      <c r="Q4" s="446"/>
      <c r="R4" s="446"/>
      <c r="S4" s="142"/>
      <c r="T4" s="142"/>
      <c r="U4" s="24"/>
      <c r="V4" s="24"/>
      <c r="W4" s="24"/>
      <c r="X4" s="24"/>
      <c r="Y4" s="24"/>
      <c r="Z4" s="24"/>
      <c r="AA4" s="24"/>
      <c r="AB4" s="24"/>
      <c r="AC4" s="24"/>
      <c r="AD4" s="24"/>
      <c r="AE4" s="24"/>
      <c r="AF4" s="24"/>
      <c r="AG4" s="24"/>
      <c r="AH4" s="24"/>
      <c r="AI4" s="24"/>
      <c r="AJ4" s="24"/>
      <c r="AK4" s="24"/>
      <c r="AL4" s="24"/>
      <c r="AM4" s="24"/>
      <c r="AN4" s="24"/>
    </row>
    <row r="5">
      <c r="A5" s="142"/>
      <c r="B5" s="416" t="s">
        <v>297</v>
      </c>
      <c r="AN5" s="142"/>
    </row>
    <row r="6">
      <c r="A6" s="142"/>
      <c r="B6" s="447"/>
      <c r="C6" s="448"/>
      <c r="D6" s="7"/>
      <c r="E6" s="7"/>
      <c r="F6" s="7"/>
      <c r="G6" s="7"/>
      <c r="H6" s="7"/>
      <c r="I6" s="7"/>
      <c r="J6" s="7"/>
      <c r="K6" s="7"/>
      <c r="L6" s="7"/>
      <c r="M6" s="5"/>
      <c r="N6" s="142"/>
      <c r="O6" s="447"/>
      <c r="P6" s="448"/>
      <c r="Q6" s="7"/>
      <c r="R6" s="7"/>
      <c r="S6" s="138"/>
      <c r="T6" s="7"/>
      <c r="U6" s="7"/>
      <c r="V6" s="7"/>
      <c r="W6" s="7"/>
      <c r="X6" s="7"/>
      <c r="Y6" s="7"/>
      <c r="Z6" s="5"/>
      <c r="AA6" s="142"/>
      <c r="AB6" s="447"/>
      <c r="AC6" s="448"/>
      <c r="AD6" s="389"/>
      <c r="AE6" s="389"/>
      <c r="AF6" s="389"/>
      <c r="AG6" s="389"/>
      <c r="AH6" s="389"/>
      <c r="AI6" s="389"/>
      <c r="AJ6" s="389"/>
      <c r="AK6" s="389"/>
      <c r="AL6" s="389"/>
      <c r="AM6" s="390"/>
      <c r="AN6" s="142"/>
    </row>
    <row r="7">
      <c r="A7" s="142"/>
      <c r="B7" s="449" t="s">
        <v>266</v>
      </c>
      <c r="D7" s="450"/>
      <c r="H7" s="451" t="s">
        <v>298</v>
      </c>
      <c r="L7" s="142"/>
      <c r="M7" s="19"/>
      <c r="N7" s="142"/>
      <c r="O7" s="449" t="s">
        <v>266</v>
      </c>
      <c r="Q7" s="450"/>
      <c r="U7" s="451" t="s">
        <v>298</v>
      </c>
      <c r="Y7" s="142"/>
      <c r="Z7" s="19"/>
      <c r="AA7" s="142"/>
      <c r="AB7" s="449" t="s">
        <v>266</v>
      </c>
      <c r="AD7" s="450"/>
      <c r="AH7" s="451" t="s">
        <v>298</v>
      </c>
      <c r="AL7" s="142"/>
      <c r="AM7" s="425"/>
      <c r="AN7" s="142"/>
    </row>
    <row r="8">
      <c r="A8" s="142"/>
      <c r="B8" s="452" t="s">
        <v>299</v>
      </c>
      <c r="G8" s="453"/>
      <c r="J8" s="454" t="s">
        <v>16</v>
      </c>
      <c r="L8" s="453"/>
      <c r="M8" s="19"/>
      <c r="N8" s="142"/>
      <c r="O8" s="452" t="s">
        <v>299</v>
      </c>
      <c r="T8" s="453"/>
      <c r="W8" s="454" t="s">
        <v>16</v>
      </c>
      <c r="Y8" s="453"/>
      <c r="Z8" s="19"/>
      <c r="AA8" s="142"/>
      <c r="AB8" s="452" t="s">
        <v>299</v>
      </c>
      <c r="AG8" s="453"/>
      <c r="AJ8" s="454" t="s">
        <v>16</v>
      </c>
      <c r="AL8" s="453"/>
      <c r="AM8" s="427"/>
      <c r="AN8" s="142"/>
    </row>
    <row r="9">
      <c r="A9" s="142"/>
      <c r="B9" s="455" t="s">
        <v>300</v>
      </c>
      <c r="E9" s="456"/>
      <c r="M9" s="19"/>
      <c r="N9" s="142"/>
      <c r="O9" s="455" t="s">
        <v>300</v>
      </c>
      <c r="R9" s="456"/>
      <c r="Z9" s="19"/>
      <c r="AA9" s="142"/>
      <c r="AB9" s="455" t="s">
        <v>300</v>
      </c>
      <c r="AE9" s="456"/>
      <c r="AM9" s="425"/>
      <c r="AN9" s="142"/>
    </row>
    <row r="10">
      <c r="A10" s="142"/>
      <c r="B10" s="457" t="s">
        <v>301</v>
      </c>
      <c r="M10" s="19"/>
      <c r="N10" s="142"/>
      <c r="O10" s="457" t="s">
        <v>301</v>
      </c>
      <c r="Z10" s="19"/>
      <c r="AA10" s="142"/>
      <c r="AB10" s="457" t="s">
        <v>301</v>
      </c>
      <c r="AM10" s="427"/>
      <c r="AN10" s="142"/>
    </row>
    <row r="11">
      <c r="A11" s="142"/>
      <c r="B11" s="458"/>
      <c r="C11" s="31"/>
      <c r="D11" s="31"/>
      <c r="E11" s="31"/>
      <c r="F11" s="31"/>
      <c r="G11" s="31"/>
      <c r="H11" s="31"/>
      <c r="I11" s="31"/>
      <c r="J11" s="31"/>
      <c r="K11" s="31"/>
      <c r="L11" s="31"/>
      <c r="M11" s="22"/>
      <c r="N11" s="142"/>
      <c r="O11" s="458"/>
      <c r="P11" s="31"/>
      <c r="Q11" s="31"/>
      <c r="R11" s="31"/>
      <c r="S11" s="123"/>
      <c r="T11" s="31"/>
      <c r="U11" s="31"/>
      <c r="V11" s="31"/>
      <c r="W11" s="31"/>
      <c r="X11" s="31"/>
      <c r="Y11" s="31"/>
      <c r="Z11" s="22"/>
      <c r="AA11" s="142"/>
      <c r="AB11" s="458"/>
      <c r="AC11" s="428"/>
      <c r="AD11" s="428"/>
      <c r="AE11" s="428"/>
      <c r="AF11" s="428"/>
      <c r="AG11" s="428"/>
      <c r="AH11" s="428"/>
      <c r="AI11" s="428"/>
      <c r="AJ11" s="428"/>
      <c r="AK11" s="428"/>
      <c r="AL11" s="428"/>
      <c r="AM11" s="429"/>
      <c r="AN11" s="142"/>
    </row>
    <row r="12">
      <c r="A12" s="142"/>
      <c r="B12" s="142"/>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c r="AA12" s="142"/>
      <c r="AB12" s="142"/>
      <c r="AC12" s="142"/>
      <c r="AD12" s="142"/>
      <c r="AE12" s="142"/>
      <c r="AF12" s="142"/>
      <c r="AG12" s="142"/>
      <c r="AH12" s="142"/>
      <c r="AI12" s="142"/>
      <c r="AJ12" s="142"/>
      <c r="AK12" s="142"/>
      <c r="AL12" s="142"/>
      <c r="AM12" s="142"/>
      <c r="AN12" s="142"/>
    </row>
    <row r="13">
      <c r="A13" s="142"/>
      <c r="B13" s="16"/>
      <c r="N13" s="142"/>
      <c r="O13" s="16"/>
      <c r="AA13" s="142"/>
      <c r="AB13" s="16"/>
      <c r="AN13" s="142"/>
    </row>
    <row r="14">
      <c r="A14" s="142"/>
      <c r="B14" s="447"/>
      <c r="C14" s="448"/>
      <c r="D14" s="400"/>
      <c r="E14" s="400"/>
      <c r="F14" s="400"/>
      <c r="G14" s="400"/>
      <c r="H14" s="400"/>
      <c r="I14" s="400"/>
      <c r="J14" s="400"/>
      <c r="K14" s="400"/>
      <c r="L14" s="400"/>
      <c r="M14" s="401"/>
      <c r="N14" s="142"/>
      <c r="O14" s="447"/>
      <c r="P14" s="448"/>
      <c r="Q14" s="7"/>
      <c r="R14" s="7"/>
      <c r="S14" s="138"/>
      <c r="T14" s="7"/>
      <c r="U14" s="7"/>
      <c r="V14" s="7"/>
      <c r="W14" s="7"/>
      <c r="X14" s="7"/>
      <c r="Y14" s="7"/>
      <c r="Z14" s="5"/>
      <c r="AA14" s="142"/>
      <c r="AB14" s="447"/>
      <c r="AC14" s="448"/>
      <c r="AD14" s="389"/>
      <c r="AE14" s="389"/>
      <c r="AF14" s="389"/>
      <c r="AG14" s="389"/>
      <c r="AH14" s="389"/>
      <c r="AI14" s="389"/>
      <c r="AJ14" s="389"/>
      <c r="AK14" s="389"/>
      <c r="AL14" s="389"/>
      <c r="AM14" s="390"/>
      <c r="AN14" s="142"/>
    </row>
    <row r="15">
      <c r="A15" s="142"/>
      <c r="B15" s="449" t="s">
        <v>266</v>
      </c>
      <c r="D15" s="450"/>
      <c r="H15" s="451" t="s">
        <v>298</v>
      </c>
      <c r="L15" s="142"/>
      <c r="M15" s="425"/>
      <c r="N15" s="142"/>
      <c r="O15" s="449" t="s">
        <v>266</v>
      </c>
      <c r="Q15" s="450"/>
      <c r="U15" s="451" t="s">
        <v>298</v>
      </c>
      <c r="Y15" s="142"/>
      <c r="Z15" s="19"/>
      <c r="AA15" s="142"/>
      <c r="AB15" s="449" t="s">
        <v>266</v>
      </c>
      <c r="AD15" s="450"/>
      <c r="AH15" s="451" t="s">
        <v>298</v>
      </c>
      <c r="AL15" s="142"/>
      <c r="AM15" s="425"/>
      <c r="AN15" s="142"/>
    </row>
    <row r="16">
      <c r="A16" s="142"/>
      <c r="B16" s="452" t="s">
        <v>299</v>
      </c>
      <c r="G16" s="453"/>
      <c r="J16" s="454" t="s">
        <v>16</v>
      </c>
      <c r="L16" s="453"/>
      <c r="M16" s="427"/>
      <c r="N16" s="142"/>
      <c r="O16" s="452" t="s">
        <v>299</v>
      </c>
      <c r="T16" s="453"/>
      <c r="W16" s="454" t="s">
        <v>16</v>
      </c>
      <c r="Y16" s="453"/>
      <c r="Z16" s="19"/>
      <c r="AA16" s="142"/>
      <c r="AB16" s="452" t="s">
        <v>299</v>
      </c>
      <c r="AG16" s="453"/>
      <c r="AJ16" s="454" t="s">
        <v>16</v>
      </c>
      <c r="AL16" s="453"/>
      <c r="AM16" s="427"/>
      <c r="AN16" s="142"/>
    </row>
    <row r="17">
      <c r="A17" s="142"/>
      <c r="B17" s="455" t="s">
        <v>300</v>
      </c>
      <c r="E17" s="456"/>
      <c r="M17" s="425"/>
      <c r="N17" s="142"/>
      <c r="O17" s="455" t="s">
        <v>300</v>
      </c>
      <c r="R17" s="456"/>
      <c r="Z17" s="19"/>
      <c r="AA17" s="142"/>
      <c r="AB17" s="455" t="s">
        <v>300</v>
      </c>
      <c r="AE17" s="456"/>
      <c r="AM17" s="425"/>
      <c r="AN17" s="142"/>
    </row>
    <row r="18" ht="15.0" customHeight="1">
      <c r="A18" s="396"/>
      <c r="B18" s="457" t="s">
        <v>301</v>
      </c>
      <c r="M18" s="427"/>
      <c r="N18" s="142"/>
      <c r="O18" s="457" t="s">
        <v>301</v>
      </c>
      <c r="Z18" s="19"/>
      <c r="AA18" s="142"/>
      <c r="AB18" s="457" t="s">
        <v>301</v>
      </c>
      <c r="AM18" s="427"/>
      <c r="AN18" s="142"/>
    </row>
    <row r="19" ht="15.0" customHeight="1">
      <c r="A19" s="142"/>
      <c r="B19" s="458"/>
      <c r="C19" s="428"/>
      <c r="D19" s="428"/>
      <c r="E19" s="428"/>
      <c r="F19" s="428"/>
      <c r="G19" s="428"/>
      <c r="H19" s="428"/>
      <c r="I19" s="428"/>
      <c r="J19" s="428"/>
      <c r="K19" s="428"/>
      <c r="L19" s="428"/>
      <c r="M19" s="429"/>
      <c r="N19" s="142"/>
      <c r="O19" s="458"/>
      <c r="P19" s="31"/>
      <c r="Q19" s="31"/>
      <c r="R19" s="31"/>
      <c r="S19" s="123"/>
      <c r="T19" s="31"/>
      <c r="U19" s="31"/>
      <c r="V19" s="31"/>
      <c r="W19" s="31"/>
      <c r="X19" s="31"/>
      <c r="Y19" s="31"/>
      <c r="Z19" s="22"/>
      <c r="AA19" s="142"/>
      <c r="AB19" s="458"/>
      <c r="AC19" s="428"/>
      <c r="AD19" s="428"/>
      <c r="AE19" s="428"/>
      <c r="AF19" s="428"/>
      <c r="AG19" s="428"/>
      <c r="AH19" s="428"/>
      <c r="AI19" s="428"/>
      <c r="AJ19" s="428"/>
      <c r="AK19" s="428"/>
      <c r="AL19" s="428"/>
      <c r="AM19" s="429"/>
      <c r="AN19" s="142"/>
    </row>
    <row r="20">
      <c r="A20" s="396"/>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c r="AA20" s="142"/>
      <c r="AB20" s="142"/>
      <c r="AC20" s="142"/>
      <c r="AD20" s="142"/>
      <c r="AE20" s="142"/>
      <c r="AF20" s="142"/>
      <c r="AG20" s="142"/>
      <c r="AH20" s="142"/>
      <c r="AI20" s="142"/>
      <c r="AJ20" s="142"/>
      <c r="AK20" s="142"/>
      <c r="AL20" s="142"/>
      <c r="AM20" s="142"/>
      <c r="AN20" s="142"/>
    </row>
    <row r="21">
      <c r="A21" s="142"/>
      <c r="B21" s="16"/>
      <c r="N21" s="142"/>
      <c r="O21" s="16"/>
      <c r="AA21" s="142"/>
      <c r="AB21" s="16"/>
      <c r="AN21" s="142"/>
    </row>
    <row r="22">
      <c r="A22" s="142"/>
      <c r="B22" s="447"/>
      <c r="C22" s="448"/>
      <c r="D22" s="389"/>
      <c r="E22" s="389"/>
      <c r="F22" s="389"/>
      <c r="G22" s="389"/>
      <c r="H22" s="389"/>
      <c r="I22" s="389"/>
      <c r="J22" s="389"/>
      <c r="K22" s="389"/>
      <c r="L22" s="389"/>
      <c r="M22" s="390"/>
      <c r="N22" s="142"/>
      <c r="O22" s="447"/>
      <c r="P22" s="448"/>
      <c r="Q22" s="389"/>
      <c r="R22" s="389"/>
      <c r="S22" s="389"/>
      <c r="T22" s="389"/>
      <c r="U22" s="389"/>
      <c r="V22" s="389"/>
      <c r="W22" s="389"/>
      <c r="X22" s="389"/>
      <c r="Y22" s="389"/>
      <c r="Z22" s="390"/>
      <c r="AA22" s="142"/>
      <c r="AB22" s="447"/>
      <c r="AC22" s="448"/>
      <c r="AD22" s="389"/>
      <c r="AE22" s="389"/>
      <c r="AF22" s="389"/>
      <c r="AG22" s="389"/>
      <c r="AH22" s="389"/>
      <c r="AI22" s="389"/>
      <c r="AJ22" s="389"/>
      <c r="AK22" s="389"/>
      <c r="AL22" s="389"/>
      <c r="AM22" s="390"/>
      <c r="AN22" s="142"/>
    </row>
    <row r="23">
      <c r="A23" s="142"/>
      <c r="B23" s="449" t="s">
        <v>266</v>
      </c>
      <c r="D23" s="450"/>
      <c r="H23" s="451" t="s">
        <v>298</v>
      </c>
      <c r="L23" s="142"/>
      <c r="M23" s="425"/>
      <c r="N23" s="142"/>
      <c r="O23" s="449" t="s">
        <v>266</v>
      </c>
      <c r="Q23" s="450"/>
      <c r="U23" s="451" t="s">
        <v>298</v>
      </c>
      <c r="Y23" s="142"/>
      <c r="Z23" s="425"/>
      <c r="AA23" s="142"/>
      <c r="AB23" s="449" t="s">
        <v>266</v>
      </c>
      <c r="AD23" s="450"/>
      <c r="AH23" s="451" t="s">
        <v>298</v>
      </c>
      <c r="AL23" s="142"/>
      <c r="AM23" s="425"/>
      <c r="AN23" s="142"/>
    </row>
    <row r="24">
      <c r="A24" s="142"/>
      <c r="B24" s="452" t="s">
        <v>299</v>
      </c>
      <c r="G24" s="453"/>
      <c r="J24" s="454" t="s">
        <v>16</v>
      </c>
      <c r="L24" s="453"/>
      <c r="M24" s="427"/>
      <c r="N24" s="142"/>
      <c r="O24" s="452" t="s">
        <v>299</v>
      </c>
      <c r="T24" s="453"/>
      <c r="W24" s="454" t="s">
        <v>16</v>
      </c>
      <c r="Y24" s="453"/>
      <c r="Z24" s="427"/>
      <c r="AA24" s="142"/>
      <c r="AB24" s="452" t="s">
        <v>299</v>
      </c>
      <c r="AG24" s="453"/>
      <c r="AJ24" s="454" t="s">
        <v>16</v>
      </c>
      <c r="AL24" s="453"/>
      <c r="AM24" s="427"/>
      <c r="AN24" s="142"/>
    </row>
    <row r="25">
      <c r="A25" s="142"/>
      <c r="B25" s="455" t="s">
        <v>300</v>
      </c>
      <c r="E25" s="456"/>
      <c r="M25" s="425"/>
      <c r="N25" s="142"/>
      <c r="O25" s="455" t="s">
        <v>300</v>
      </c>
      <c r="R25" s="456"/>
      <c r="Z25" s="425"/>
      <c r="AA25" s="142"/>
      <c r="AB25" s="455" t="s">
        <v>300</v>
      </c>
      <c r="AE25" s="456"/>
      <c r="AM25" s="425"/>
      <c r="AN25" s="142"/>
    </row>
    <row r="26">
      <c r="A26" s="142"/>
      <c r="B26" s="457" t="s">
        <v>301</v>
      </c>
      <c r="M26" s="427"/>
      <c r="N26" s="142"/>
      <c r="O26" s="457" t="s">
        <v>301</v>
      </c>
      <c r="Z26" s="427"/>
      <c r="AA26" s="142"/>
      <c r="AB26" s="457" t="s">
        <v>301</v>
      </c>
      <c r="AM26" s="427"/>
      <c r="AN26" s="142"/>
    </row>
    <row r="27">
      <c r="A27" s="396"/>
      <c r="B27" s="458"/>
      <c r="C27" s="428"/>
      <c r="D27" s="428"/>
      <c r="E27" s="428"/>
      <c r="F27" s="428"/>
      <c r="G27" s="428"/>
      <c r="H27" s="428"/>
      <c r="I27" s="428"/>
      <c r="J27" s="428"/>
      <c r="K27" s="428"/>
      <c r="L27" s="428"/>
      <c r="M27" s="429"/>
      <c r="N27" s="142"/>
      <c r="O27" s="458"/>
      <c r="P27" s="428"/>
      <c r="Q27" s="428"/>
      <c r="R27" s="428"/>
      <c r="S27" s="428"/>
      <c r="T27" s="428"/>
      <c r="U27" s="428"/>
      <c r="V27" s="428"/>
      <c r="W27" s="428"/>
      <c r="X27" s="428"/>
      <c r="Y27" s="428"/>
      <c r="Z27" s="429"/>
      <c r="AA27" s="142"/>
      <c r="AB27" s="458"/>
      <c r="AC27" s="428"/>
      <c r="AD27" s="428"/>
      <c r="AE27" s="428"/>
      <c r="AF27" s="428"/>
      <c r="AG27" s="428"/>
      <c r="AH27" s="428"/>
      <c r="AI27" s="428"/>
      <c r="AJ27" s="428"/>
      <c r="AK27" s="428"/>
      <c r="AL27" s="428"/>
      <c r="AM27" s="429"/>
      <c r="AN27" s="142"/>
    </row>
    <row r="28" ht="15.75" customHeight="1">
      <c r="A28" s="142"/>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c r="AL28" s="142"/>
      <c r="AM28" s="142"/>
      <c r="AN28" s="142"/>
    </row>
    <row r="29" ht="15.75" customHeight="1">
      <c r="A29" s="142"/>
      <c r="B29" s="16"/>
      <c r="N29" s="142"/>
      <c r="O29" s="16"/>
      <c r="AA29" s="142"/>
      <c r="AB29" s="16"/>
      <c r="AN29" s="142"/>
    </row>
    <row r="30">
      <c r="A30" s="142"/>
      <c r="B30" s="447"/>
      <c r="C30" s="448"/>
      <c r="D30" s="389"/>
      <c r="E30" s="389"/>
      <c r="F30" s="389"/>
      <c r="G30" s="389"/>
      <c r="H30" s="389"/>
      <c r="I30" s="389"/>
      <c r="J30" s="389"/>
      <c r="K30" s="389"/>
      <c r="L30" s="389"/>
      <c r="M30" s="390"/>
      <c r="N30" s="142"/>
      <c r="O30" s="447"/>
      <c r="P30" s="448"/>
      <c r="Q30" s="389"/>
      <c r="R30" s="389"/>
      <c r="S30" s="389"/>
      <c r="T30" s="389"/>
      <c r="U30" s="389"/>
      <c r="V30" s="389"/>
      <c r="W30" s="389"/>
      <c r="X30" s="389"/>
      <c r="Y30" s="389"/>
      <c r="Z30" s="390"/>
      <c r="AA30" s="142"/>
      <c r="AB30" s="447"/>
      <c r="AC30" s="448"/>
      <c r="AD30" s="389"/>
      <c r="AE30" s="389"/>
      <c r="AF30" s="389"/>
      <c r="AG30" s="389"/>
      <c r="AH30" s="389"/>
      <c r="AI30" s="389"/>
      <c r="AJ30" s="389"/>
      <c r="AK30" s="389"/>
      <c r="AL30" s="389"/>
      <c r="AM30" s="390"/>
      <c r="AN30" s="142"/>
    </row>
    <row r="31">
      <c r="A31" s="142"/>
      <c r="B31" s="449" t="s">
        <v>266</v>
      </c>
      <c r="D31" s="450"/>
      <c r="H31" s="451" t="s">
        <v>298</v>
      </c>
      <c r="L31" s="142"/>
      <c r="M31" s="425"/>
      <c r="N31" s="142"/>
      <c r="O31" s="449" t="s">
        <v>266</v>
      </c>
      <c r="Q31" s="450"/>
      <c r="U31" s="451" t="s">
        <v>298</v>
      </c>
      <c r="Y31" s="142"/>
      <c r="Z31" s="425"/>
      <c r="AA31" s="142"/>
      <c r="AB31" s="449" t="s">
        <v>266</v>
      </c>
      <c r="AD31" s="450"/>
      <c r="AH31" s="451" t="s">
        <v>298</v>
      </c>
      <c r="AL31" s="142"/>
      <c r="AM31" s="425"/>
      <c r="AN31" s="142"/>
    </row>
    <row r="32">
      <c r="A32" s="142"/>
      <c r="B32" s="452" t="s">
        <v>299</v>
      </c>
      <c r="G32" s="453"/>
      <c r="J32" s="454" t="s">
        <v>16</v>
      </c>
      <c r="L32" s="453"/>
      <c r="M32" s="427"/>
      <c r="N32" s="142"/>
      <c r="O32" s="452" t="s">
        <v>299</v>
      </c>
      <c r="T32" s="453"/>
      <c r="W32" s="454" t="s">
        <v>16</v>
      </c>
      <c r="Y32" s="453"/>
      <c r="Z32" s="427"/>
      <c r="AA32" s="142"/>
      <c r="AB32" s="452" t="s">
        <v>299</v>
      </c>
      <c r="AG32" s="453"/>
      <c r="AJ32" s="454" t="s">
        <v>16</v>
      </c>
      <c r="AL32" s="453"/>
      <c r="AM32" s="427"/>
      <c r="AN32" s="142"/>
    </row>
    <row r="33">
      <c r="A33" s="142"/>
      <c r="B33" s="455" t="s">
        <v>300</v>
      </c>
      <c r="E33" s="456"/>
      <c r="M33" s="425"/>
      <c r="N33" s="142"/>
      <c r="O33" s="455" t="s">
        <v>300</v>
      </c>
      <c r="R33" s="456"/>
      <c r="Z33" s="425"/>
      <c r="AA33" s="142"/>
      <c r="AB33" s="455" t="s">
        <v>300</v>
      </c>
      <c r="AE33" s="456"/>
      <c r="AM33" s="425"/>
      <c r="AN33" s="142"/>
    </row>
    <row r="34">
      <c r="A34" s="142"/>
      <c r="B34" s="457" t="s">
        <v>301</v>
      </c>
      <c r="M34" s="427"/>
      <c r="N34" s="142"/>
      <c r="O34" s="457" t="s">
        <v>301</v>
      </c>
      <c r="Z34" s="427"/>
      <c r="AA34" s="142"/>
      <c r="AB34" s="457" t="s">
        <v>301</v>
      </c>
      <c r="AM34" s="427"/>
      <c r="AN34" s="142"/>
    </row>
    <row r="35">
      <c r="A35" s="142"/>
      <c r="B35" s="458"/>
      <c r="C35" s="428"/>
      <c r="D35" s="428"/>
      <c r="E35" s="428"/>
      <c r="F35" s="428"/>
      <c r="G35" s="428"/>
      <c r="H35" s="428"/>
      <c r="I35" s="428"/>
      <c r="J35" s="428"/>
      <c r="K35" s="428"/>
      <c r="L35" s="428"/>
      <c r="M35" s="429"/>
      <c r="N35" s="142"/>
      <c r="O35" s="458"/>
      <c r="P35" s="428"/>
      <c r="Q35" s="428"/>
      <c r="R35" s="428"/>
      <c r="S35" s="428"/>
      <c r="T35" s="428"/>
      <c r="U35" s="428"/>
      <c r="V35" s="428"/>
      <c r="W35" s="428"/>
      <c r="X35" s="428"/>
      <c r="Y35" s="428"/>
      <c r="Z35" s="429"/>
      <c r="AA35" s="142"/>
      <c r="AB35" s="458"/>
      <c r="AC35" s="428"/>
      <c r="AD35" s="428"/>
      <c r="AE35" s="428"/>
      <c r="AF35" s="428"/>
      <c r="AG35" s="428"/>
      <c r="AH35" s="428"/>
      <c r="AI35" s="428"/>
      <c r="AJ35" s="428"/>
      <c r="AK35" s="428"/>
      <c r="AL35" s="428"/>
      <c r="AM35" s="429"/>
      <c r="AN35" s="142"/>
    </row>
    <row r="36">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142"/>
      <c r="AK36" s="142"/>
      <c r="AL36" s="142"/>
      <c r="AM36" s="142"/>
      <c r="AN36" s="142"/>
    </row>
    <row r="37">
      <c r="A37" s="142"/>
      <c r="B37" s="16"/>
      <c r="N37" s="142"/>
      <c r="O37" s="16"/>
      <c r="AA37" s="142"/>
      <c r="AB37" s="16"/>
      <c r="AN37" s="142"/>
    </row>
    <row r="38">
      <c r="A38" s="142"/>
      <c r="B38" s="447"/>
      <c r="C38" s="448"/>
      <c r="D38" s="400"/>
      <c r="E38" s="400"/>
      <c r="F38" s="400"/>
      <c r="G38" s="400"/>
      <c r="H38" s="400"/>
      <c r="I38" s="400"/>
      <c r="J38" s="400"/>
      <c r="K38" s="400"/>
      <c r="L38" s="400"/>
      <c r="M38" s="401"/>
      <c r="N38" s="142"/>
      <c r="O38" s="447"/>
      <c r="P38" s="448"/>
      <c r="Q38" s="400"/>
      <c r="R38" s="400"/>
      <c r="S38" s="400"/>
      <c r="T38" s="400"/>
      <c r="U38" s="400"/>
      <c r="V38" s="400"/>
      <c r="W38" s="400"/>
      <c r="X38" s="400"/>
      <c r="Y38" s="400"/>
      <c r="Z38" s="401"/>
      <c r="AA38" s="142"/>
      <c r="AB38" s="447"/>
      <c r="AC38" s="448"/>
      <c r="AD38" s="400"/>
      <c r="AE38" s="400"/>
      <c r="AF38" s="400"/>
      <c r="AG38" s="400"/>
      <c r="AH38" s="400"/>
      <c r="AI38" s="400"/>
      <c r="AJ38" s="400"/>
      <c r="AK38" s="400"/>
      <c r="AL38" s="400"/>
      <c r="AM38" s="401"/>
      <c r="AN38" s="142"/>
    </row>
    <row r="39">
      <c r="A39" s="396"/>
      <c r="B39" s="449" t="s">
        <v>266</v>
      </c>
      <c r="D39" s="450"/>
      <c r="H39" s="451" t="s">
        <v>298</v>
      </c>
      <c r="L39" s="142"/>
      <c r="M39" s="425"/>
      <c r="N39" s="142"/>
      <c r="O39" s="449" t="s">
        <v>266</v>
      </c>
      <c r="Q39" s="450"/>
      <c r="U39" s="451" t="s">
        <v>298</v>
      </c>
      <c r="Y39" s="142"/>
      <c r="Z39" s="425"/>
      <c r="AA39" s="142"/>
      <c r="AB39" s="449" t="s">
        <v>266</v>
      </c>
      <c r="AD39" s="450"/>
      <c r="AH39" s="451" t="s">
        <v>298</v>
      </c>
      <c r="AL39" s="142"/>
      <c r="AM39" s="425"/>
      <c r="AN39" s="142"/>
    </row>
    <row r="40">
      <c r="A40" s="142"/>
      <c r="B40" s="452" t="s">
        <v>299</v>
      </c>
      <c r="G40" s="453"/>
      <c r="J40" s="454" t="s">
        <v>16</v>
      </c>
      <c r="L40" s="453"/>
      <c r="M40" s="19"/>
      <c r="N40" s="142"/>
      <c r="O40" s="452" t="s">
        <v>299</v>
      </c>
      <c r="T40" s="453"/>
      <c r="W40" s="454" t="s">
        <v>16</v>
      </c>
      <c r="Y40" s="453"/>
      <c r="Z40" s="19"/>
      <c r="AA40" s="142"/>
      <c r="AB40" s="452" t="s">
        <v>299</v>
      </c>
      <c r="AG40" s="453"/>
      <c r="AJ40" s="454" t="s">
        <v>16</v>
      </c>
      <c r="AL40" s="453"/>
      <c r="AM40" s="19"/>
      <c r="AN40" s="142"/>
    </row>
    <row r="41">
      <c r="A41" s="142"/>
      <c r="B41" s="455" t="s">
        <v>300</v>
      </c>
      <c r="E41" s="456"/>
      <c r="M41" s="434"/>
      <c r="N41" s="142"/>
      <c r="O41" s="455" t="s">
        <v>300</v>
      </c>
      <c r="R41" s="456"/>
      <c r="Z41" s="434"/>
      <c r="AA41" s="142"/>
      <c r="AB41" s="455" t="s">
        <v>300</v>
      </c>
      <c r="AE41" s="456"/>
      <c r="AM41" s="434"/>
      <c r="AN41" s="142"/>
    </row>
    <row r="42">
      <c r="A42" s="142"/>
      <c r="B42" s="457" t="s">
        <v>301</v>
      </c>
      <c r="M42" s="425"/>
      <c r="N42" s="142"/>
      <c r="O42" s="457" t="s">
        <v>301</v>
      </c>
      <c r="Z42" s="425"/>
      <c r="AA42" s="142"/>
      <c r="AB42" s="457" t="s">
        <v>301</v>
      </c>
      <c r="AM42" s="425"/>
      <c r="AN42" s="142"/>
    </row>
    <row r="43">
      <c r="A43" s="142"/>
      <c r="B43" s="458"/>
      <c r="C43" s="435"/>
      <c r="D43" s="435"/>
      <c r="E43" s="435"/>
      <c r="F43" s="435"/>
      <c r="G43" s="435"/>
      <c r="H43" s="435"/>
      <c r="I43" s="435"/>
      <c r="J43" s="435"/>
      <c r="K43" s="435"/>
      <c r="L43" s="435"/>
      <c r="M43" s="436"/>
      <c r="N43" s="142"/>
      <c r="O43" s="458"/>
      <c r="P43" s="435"/>
      <c r="Q43" s="435"/>
      <c r="R43" s="435"/>
      <c r="S43" s="435"/>
      <c r="T43" s="435"/>
      <c r="U43" s="435"/>
      <c r="V43" s="435"/>
      <c r="W43" s="435"/>
      <c r="X43" s="435"/>
      <c r="Y43" s="435"/>
      <c r="Z43" s="436"/>
      <c r="AA43" s="142"/>
      <c r="AB43" s="458"/>
      <c r="AC43" s="435"/>
      <c r="AD43" s="435"/>
      <c r="AE43" s="435"/>
      <c r="AF43" s="435"/>
      <c r="AG43" s="435"/>
      <c r="AH43" s="435"/>
      <c r="AI43" s="435"/>
      <c r="AJ43" s="435"/>
      <c r="AK43" s="435"/>
      <c r="AL43" s="435"/>
      <c r="AM43" s="436"/>
      <c r="AN43" s="142"/>
    </row>
    <row r="44">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c r="AA44" s="142"/>
      <c r="AB44" s="142"/>
      <c r="AC44" s="142"/>
      <c r="AD44" s="142"/>
      <c r="AE44" s="142"/>
      <c r="AF44" s="142"/>
      <c r="AG44" s="142"/>
      <c r="AH44" s="142"/>
      <c r="AI44" s="142"/>
      <c r="AJ44" s="142"/>
      <c r="AK44" s="142"/>
      <c r="AL44" s="142"/>
      <c r="AM44" s="142"/>
      <c r="AN44" s="142"/>
    </row>
    <row r="45">
      <c r="A45" s="142"/>
      <c r="B45" s="16"/>
      <c r="N45" s="142"/>
      <c r="O45" s="16"/>
      <c r="AA45" s="142"/>
      <c r="AB45" s="16"/>
      <c r="AN45" s="142"/>
    </row>
    <row r="46">
      <c r="A46" s="142"/>
      <c r="B46" s="447"/>
      <c r="C46" s="448"/>
      <c r="D46" s="406"/>
      <c r="E46" s="406"/>
      <c r="F46" s="406"/>
      <c r="G46" s="406"/>
      <c r="H46" s="406"/>
      <c r="I46" s="406"/>
      <c r="J46" s="406"/>
      <c r="K46" s="406"/>
      <c r="L46" s="406"/>
      <c r="M46" s="407"/>
      <c r="N46" s="142"/>
      <c r="O46" s="447"/>
      <c r="P46" s="448"/>
      <c r="Q46" s="406"/>
      <c r="R46" s="406"/>
      <c r="S46" s="406"/>
      <c r="T46" s="406"/>
      <c r="U46" s="406"/>
      <c r="V46" s="406"/>
      <c r="W46" s="406"/>
      <c r="X46" s="406"/>
      <c r="Y46" s="406"/>
      <c r="Z46" s="407"/>
      <c r="AA46" s="142"/>
      <c r="AB46" s="447"/>
      <c r="AC46" s="448"/>
      <c r="AD46" s="406"/>
      <c r="AE46" s="406"/>
      <c r="AF46" s="406"/>
      <c r="AG46" s="406"/>
      <c r="AH46" s="406"/>
      <c r="AI46" s="406"/>
      <c r="AJ46" s="406"/>
      <c r="AK46" s="406"/>
      <c r="AL46" s="406"/>
      <c r="AM46" s="407"/>
      <c r="AN46" s="142"/>
    </row>
    <row r="47">
      <c r="A47" s="142"/>
      <c r="B47" s="449" t="s">
        <v>266</v>
      </c>
      <c r="D47" s="450"/>
      <c r="H47" s="451" t="s">
        <v>298</v>
      </c>
      <c r="L47" s="142"/>
      <c r="M47" s="427"/>
      <c r="N47" s="142"/>
      <c r="O47" s="449" t="s">
        <v>266</v>
      </c>
      <c r="Q47" s="450"/>
      <c r="U47" s="451" t="s">
        <v>298</v>
      </c>
      <c r="Y47" s="142"/>
      <c r="Z47" s="427"/>
      <c r="AA47" s="142"/>
      <c r="AB47" s="449" t="s">
        <v>266</v>
      </c>
      <c r="AD47" s="450"/>
      <c r="AH47" s="451" t="s">
        <v>298</v>
      </c>
      <c r="AL47" s="142"/>
      <c r="AM47" s="427"/>
      <c r="AN47" s="142"/>
    </row>
    <row r="48">
      <c r="A48" s="396"/>
      <c r="B48" s="452" t="s">
        <v>299</v>
      </c>
      <c r="G48" s="453"/>
      <c r="J48" s="454" t="s">
        <v>16</v>
      </c>
      <c r="L48" s="453"/>
      <c r="M48" s="425"/>
      <c r="N48" s="142"/>
      <c r="O48" s="452" t="s">
        <v>299</v>
      </c>
      <c r="T48" s="453"/>
      <c r="W48" s="454" t="s">
        <v>16</v>
      </c>
      <c r="Y48" s="453"/>
      <c r="Z48" s="425"/>
      <c r="AA48" s="142"/>
      <c r="AB48" s="452" t="s">
        <v>299</v>
      </c>
      <c r="AG48" s="453"/>
      <c r="AJ48" s="454" t="s">
        <v>16</v>
      </c>
      <c r="AL48" s="453"/>
      <c r="AM48" s="425"/>
      <c r="AN48" s="142"/>
    </row>
    <row r="49">
      <c r="A49" s="142"/>
      <c r="B49" s="455" t="s">
        <v>300</v>
      </c>
      <c r="E49" s="456"/>
      <c r="M49" s="427"/>
      <c r="N49" s="142"/>
      <c r="O49" s="455" t="s">
        <v>300</v>
      </c>
      <c r="R49" s="456"/>
      <c r="Z49" s="427"/>
      <c r="AA49" s="142"/>
      <c r="AB49" s="455" t="s">
        <v>300</v>
      </c>
      <c r="AE49" s="456"/>
      <c r="AM49" s="427"/>
      <c r="AN49" s="142"/>
    </row>
    <row r="50">
      <c r="A50" s="142"/>
      <c r="B50" s="457" t="s">
        <v>301</v>
      </c>
      <c r="M50" s="19"/>
      <c r="N50" s="142"/>
      <c r="O50" s="457" t="s">
        <v>301</v>
      </c>
      <c r="Z50" s="19"/>
      <c r="AA50" s="142"/>
      <c r="AB50" s="457" t="s">
        <v>301</v>
      </c>
      <c r="AM50" s="19"/>
      <c r="AN50" s="142"/>
    </row>
    <row r="51">
      <c r="A51" s="142"/>
      <c r="B51" s="458"/>
      <c r="C51" s="432"/>
      <c r="D51" s="432"/>
      <c r="E51" s="432"/>
      <c r="F51" s="432"/>
      <c r="G51" s="432"/>
      <c r="H51" s="432"/>
      <c r="I51" s="432"/>
      <c r="J51" s="432"/>
      <c r="K51" s="432"/>
      <c r="L51" s="432"/>
      <c r="M51" s="433"/>
      <c r="N51" s="142"/>
      <c r="O51" s="458"/>
      <c r="P51" s="432"/>
      <c r="Q51" s="432"/>
      <c r="R51" s="432"/>
      <c r="S51" s="432"/>
      <c r="T51" s="432"/>
      <c r="U51" s="432"/>
      <c r="V51" s="432"/>
      <c r="W51" s="432"/>
      <c r="X51" s="432"/>
      <c r="Y51" s="432"/>
      <c r="Z51" s="433"/>
      <c r="AA51" s="142"/>
      <c r="AB51" s="458"/>
      <c r="AC51" s="432"/>
      <c r="AD51" s="432"/>
      <c r="AE51" s="432"/>
      <c r="AF51" s="432"/>
      <c r="AG51" s="432"/>
      <c r="AH51" s="432"/>
      <c r="AI51" s="432"/>
      <c r="AJ51" s="432"/>
      <c r="AK51" s="432"/>
      <c r="AL51" s="432"/>
      <c r="AM51" s="433"/>
      <c r="AN51" s="142"/>
    </row>
    <row r="52">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c r="AJ52" s="142"/>
      <c r="AK52" s="142"/>
      <c r="AL52" s="142"/>
      <c r="AM52" s="142"/>
      <c r="AN52" s="142"/>
    </row>
    <row r="53">
      <c r="A53" s="142"/>
      <c r="B53" s="16"/>
      <c r="N53" s="142"/>
      <c r="O53" s="16"/>
      <c r="AA53" s="142"/>
      <c r="AB53" s="16"/>
      <c r="AN53" s="142"/>
    </row>
    <row r="54">
      <c r="A54" s="142"/>
      <c r="B54" s="447"/>
      <c r="C54" s="448"/>
      <c r="D54" s="406"/>
      <c r="E54" s="406"/>
      <c r="F54" s="406"/>
      <c r="G54" s="406"/>
      <c r="H54" s="406"/>
      <c r="I54" s="406"/>
      <c r="J54" s="406"/>
      <c r="K54" s="406"/>
      <c r="L54" s="406"/>
      <c r="M54" s="407"/>
      <c r="N54" s="142"/>
      <c r="O54" s="447"/>
      <c r="P54" s="448"/>
      <c r="Q54" s="406"/>
      <c r="R54" s="406"/>
      <c r="S54" s="406"/>
      <c r="T54" s="406"/>
      <c r="U54" s="406"/>
      <c r="V54" s="406"/>
      <c r="W54" s="406"/>
      <c r="X54" s="406"/>
      <c r="Y54" s="406"/>
      <c r="Z54" s="407"/>
      <c r="AA54" s="142"/>
      <c r="AB54" s="447"/>
      <c r="AC54" s="448"/>
      <c r="AD54" s="406"/>
      <c r="AE54" s="406"/>
      <c r="AF54" s="406"/>
      <c r="AG54" s="406"/>
      <c r="AH54" s="406"/>
      <c r="AI54" s="406"/>
      <c r="AJ54" s="406"/>
      <c r="AK54" s="406"/>
      <c r="AL54" s="406"/>
      <c r="AM54" s="407"/>
      <c r="AN54" s="142"/>
    </row>
    <row r="55">
      <c r="A55" s="142"/>
      <c r="B55" s="449" t="s">
        <v>266</v>
      </c>
      <c r="D55" s="450"/>
      <c r="H55" s="451" t="s">
        <v>298</v>
      </c>
      <c r="L55" s="142"/>
      <c r="M55" s="427"/>
      <c r="N55" s="142"/>
      <c r="O55" s="449" t="s">
        <v>266</v>
      </c>
      <c r="Q55" s="450"/>
      <c r="U55" s="451" t="s">
        <v>298</v>
      </c>
      <c r="Y55" s="142"/>
      <c r="Z55" s="427"/>
      <c r="AA55" s="142"/>
      <c r="AB55" s="449" t="s">
        <v>266</v>
      </c>
      <c r="AD55" s="450"/>
      <c r="AH55" s="451" t="s">
        <v>298</v>
      </c>
      <c r="AL55" s="142"/>
      <c r="AM55" s="427"/>
      <c r="AN55" s="142"/>
    </row>
    <row r="56">
      <c r="A56" s="142"/>
      <c r="B56" s="452" t="s">
        <v>299</v>
      </c>
      <c r="G56" s="453"/>
      <c r="J56" s="454" t="s">
        <v>16</v>
      </c>
      <c r="L56" s="453"/>
      <c r="M56" s="425"/>
      <c r="N56" s="142"/>
      <c r="O56" s="452" t="s">
        <v>299</v>
      </c>
      <c r="T56" s="453"/>
      <c r="W56" s="454" t="s">
        <v>16</v>
      </c>
      <c r="Y56" s="453"/>
      <c r="Z56" s="425"/>
      <c r="AA56" s="142"/>
      <c r="AB56" s="452" t="s">
        <v>299</v>
      </c>
      <c r="AG56" s="453"/>
      <c r="AJ56" s="454" t="s">
        <v>16</v>
      </c>
      <c r="AL56" s="453"/>
      <c r="AM56" s="425"/>
      <c r="AN56" s="142"/>
    </row>
    <row r="57">
      <c r="A57" s="142"/>
      <c r="B57" s="455" t="s">
        <v>300</v>
      </c>
      <c r="E57" s="456"/>
      <c r="M57" s="427"/>
      <c r="N57" s="142"/>
      <c r="O57" s="455" t="s">
        <v>300</v>
      </c>
      <c r="R57" s="456"/>
      <c r="Z57" s="427"/>
      <c r="AA57" s="142"/>
      <c r="AB57" s="455" t="s">
        <v>300</v>
      </c>
      <c r="AE57" s="456"/>
      <c r="AM57" s="427"/>
      <c r="AN57" s="142"/>
    </row>
    <row r="58">
      <c r="A58" s="142"/>
      <c r="B58" s="457" t="s">
        <v>301</v>
      </c>
      <c r="M58" s="425"/>
      <c r="N58" s="142"/>
      <c r="O58" s="457" t="s">
        <v>301</v>
      </c>
      <c r="Z58" s="425"/>
      <c r="AA58" s="142"/>
      <c r="AB58" s="457" t="s">
        <v>301</v>
      </c>
      <c r="AM58" s="425"/>
      <c r="AN58" s="142"/>
    </row>
    <row r="59">
      <c r="A59" s="396"/>
      <c r="B59" s="458"/>
      <c r="C59" s="435"/>
      <c r="D59" s="435"/>
      <c r="E59" s="435"/>
      <c r="F59" s="435"/>
      <c r="G59" s="435"/>
      <c r="H59" s="435"/>
      <c r="I59" s="435"/>
      <c r="J59" s="435"/>
      <c r="K59" s="435"/>
      <c r="L59" s="435"/>
      <c r="M59" s="436"/>
      <c r="N59" s="142"/>
      <c r="O59" s="458"/>
      <c r="P59" s="435"/>
      <c r="Q59" s="435"/>
      <c r="R59" s="435"/>
      <c r="S59" s="435"/>
      <c r="T59" s="435"/>
      <c r="U59" s="435"/>
      <c r="V59" s="435"/>
      <c r="W59" s="435"/>
      <c r="X59" s="435"/>
      <c r="Y59" s="435"/>
      <c r="Z59" s="436"/>
      <c r="AA59" s="142"/>
      <c r="AB59" s="458"/>
      <c r="AC59" s="435"/>
      <c r="AD59" s="435"/>
      <c r="AE59" s="435"/>
      <c r="AF59" s="435"/>
      <c r="AG59" s="435"/>
      <c r="AH59" s="435"/>
      <c r="AI59" s="435"/>
      <c r="AJ59" s="435"/>
      <c r="AK59" s="435"/>
      <c r="AL59" s="435"/>
      <c r="AM59" s="436"/>
      <c r="AN59" s="142"/>
    </row>
    <row r="60">
      <c r="A60" s="396"/>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2"/>
      <c r="AJ60" s="142"/>
      <c r="AK60" s="142"/>
      <c r="AL60" s="142"/>
      <c r="AM60" s="142"/>
      <c r="AN60" s="142"/>
    </row>
    <row r="61">
      <c r="A61" s="142"/>
      <c r="B61" s="16"/>
      <c r="N61" s="142"/>
      <c r="O61" s="16"/>
      <c r="AA61" s="142"/>
      <c r="AB61" s="16"/>
      <c r="AN61" s="142"/>
    </row>
    <row r="62">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c r="AA62" s="142"/>
      <c r="AB62" s="142"/>
      <c r="AC62" s="142"/>
      <c r="AD62" s="142"/>
      <c r="AE62" s="142"/>
      <c r="AF62" s="142"/>
      <c r="AG62" s="142"/>
      <c r="AH62" s="142"/>
      <c r="AI62" s="142"/>
      <c r="AJ62" s="142"/>
      <c r="AK62" s="142"/>
      <c r="AL62" s="142"/>
      <c r="AM62" s="142"/>
      <c r="AN62" s="142"/>
    </row>
    <row r="63">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c r="AA63" s="142"/>
      <c r="AB63" s="142"/>
      <c r="AC63" s="142"/>
      <c r="AD63" s="142"/>
      <c r="AE63" s="142"/>
      <c r="AF63" s="142"/>
      <c r="AG63" s="142"/>
      <c r="AH63" s="142"/>
      <c r="AI63" s="142"/>
      <c r="AJ63" s="142"/>
      <c r="AK63" s="142"/>
      <c r="AL63" s="142"/>
      <c r="AM63" s="142"/>
      <c r="AN63" s="142"/>
    </row>
    <row r="64">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c r="AM64" s="142"/>
      <c r="AN64" s="142"/>
    </row>
    <row r="65">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c r="AA65" s="142"/>
      <c r="AB65" s="142"/>
      <c r="AC65" s="142"/>
      <c r="AD65" s="142"/>
      <c r="AE65" s="142"/>
      <c r="AF65" s="142"/>
      <c r="AG65" s="142"/>
      <c r="AH65" s="142"/>
      <c r="AI65" s="142"/>
      <c r="AJ65" s="142"/>
      <c r="AK65" s="142"/>
      <c r="AL65" s="142"/>
      <c r="AM65" s="142"/>
      <c r="AN65" s="142"/>
    </row>
    <row r="66">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c r="AA66" s="142"/>
      <c r="AB66" s="142"/>
      <c r="AC66" s="142"/>
      <c r="AD66" s="142"/>
      <c r="AE66" s="142"/>
      <c r="AF66" s="142"/>
      <c r="AG66" s="142"/>
      <c r="AH66" s="142"/>
      <c r="AI66" s="142"/>
      <c r="AJ66" s="142"/>
      <c r="AK66" s="142"/>
      <c r="AL66" s="142"/>
      <c r="AM66" s="142"/>
      <c r="AN66" s="142"/>
    </row>
    <row r="67">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row>
    <row r="68">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row>
    <row r="69">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c r="AA69" s="142"/>
      <c r="AB69" s="142"/>
      <c r="AC69" s="142"/>
      <c r="AD69" s="142"/>
      <c r="AE69" s="142"/>
      <c r="AF69" s="142"/>
      <c r="AG69" s="142"/>
      <c r="AH69" s="142"/>
      <c r="AI69" s="142"/>
      <c r="AJ69" s="142"/>
      <c r="AK69" s="142"/>
      <c r="AL69" s="142"/>
      <c r="AM69" s="142"/>
      <c r="AN69" s="142"/>
    </row>
    <row r="70">
      <c r="A70" s="396"/>
      <c r="B70" s="142"/>
      <c r="C70" s="142"/>
      <c r="D70" s="142"/>
      <c r="E70" s="142"/>
      <c r="F70" s="142"/>
      <c r="G70" s="142"/>
      <c r="H70" s="142"/>
      <c r="I70" s="142"/>
      <c r="J70" s="142"/>
      <c r="K70" s="142"/>
      <c r="L70" s="142"/>
      <c r="M70" s="142"/>
      <c r="N70" s="396"/>
      <c r="O70" s="142"/>
      <c r="P70" s="142"/>
      <c r="Q70" s="142"/>
      <c r="R70" s="142"/>
      <c r="S70" s="142"/>
      <c r="T70" s="142"/>
      <c r="U70" s="142"/>
      <c r="V70" s="142"/>
      <c r="W70" s="142"/>
      <c r="X70" s="142"/>
      <c r="Y70" s="142"/>
      <c r="Z70" s="142"/>
      <c r="AA70" s="142"/>
      <c r="AB70" s="142"/>
      <c r="AC70" s="142"/>
      <c r="AD70" s="142"/>
      <c r="AE70" s="142"/>
      <c r="AF70" s="142"/>
      <c r="AG70" s="142"/>
      <c r="AH70" s="142"/>
      <c r="AI70" s="142"/>
      <c r="AJ70" s="142"/>
      <c r="AK70" s="142"/>
      <c r="AL70" s="142"/>
      <c r="AM70" s="142"/>
      <c r="AN70" s="142"/>
    </row>
    <row r="7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row>
    <row r="72">
      <c r="A72" s="396"/>
      <c r="B72" s="142"/>
      <c r="C72" s="142"/>
      <c r="D72" s="142"/>
      <c r="E72" s="142"/>
      <c r="F72" s="142"/>
      <c r="G72" s="142"/>
      <c r="H72" s="142"/>
      <c r="I72" s="142"/>
      <c r="J72" s="142"/>
      <c r="K72" s="142"/>
      <c r="L72" s="142"/>
      <c r="M72" s="142"/>
      <c r="N72" s="396"/>
      <c r="O72" s="142"/>
      <c r="P72" s="142"/>
      <c r="Q72" s="142"/>
      <c r="R72" s="142"/>
      <c r="S72" s="142"/>
      <c r="T72" s="142"/>
      <c r="U72" s="142"/>
      <c r="V72" s="142"/>
      <c r="W72" s="142"/>
      <c r="X72" s="142"/>
      <c r="Y72" s="142"/>
      <c r="Z72" s="142"/>
      <c r="AA72" s="142"/>
      <c r="AB72" s="142"/>
      <c r="AC72" s="142"/>
      <c r="AD72" s="142"/>
      <c r="AE72" s="142"/>
      <c r="AF72" s="142"/>
      <c r="AG72" s="142"/>
      <c r="AH72" s="142"/>
      <c r="AI72" s="142"/>
      <c r="AJ72" s="142"/>
      <c r="AK72" s="142"/>
      <c r="AL72" s="142"/>
      <c r="AM72" s="142"/>
      <c r="AN72" s="142"/>
    </row>
    <row r="73">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c r="AA73" s="142"/>
      <c r="AB73" s="142"/>
      <c r="AC73" s="142"/>
      <c r="AD73" s="142"/>
      <c r="AE73" s="142"/>
      <c r="AF73" s="142"/>
      <c r="AG73" s="142"/>
      <c r="AH73" s="142"/>
      <c r="AI73" s="142"/>
      <c r="AJ73" s="142"/>
      <c r="AK73" s="142"/>
      <c r="AL73" s="142"/>
      <c r="AM73" s="142"/>
      <c r="AN73" s="142"/>
    </row>
    <row r="74">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c r="AA74" s="142"/>
      <c r="AB74" s="142"/>
      <c r="AC74" s="142"/>
      <c r="AD74" s="142"/>
      <c r="AE74" s="142"/>
      <c r="AF74" s="142"/>
      <c r="AG74" s="142"/>
      <c r="AH74" s="142"/>
      <c r="AI74" s="142"/>
      <c r="AJ74" s="142"/>
      <c r="AK74" s="142"/>
      <c r="AL74" s="142"/>
      <c r="AM74" s="142"/>
      <c r="AN74" s="142"/>
    </row>
    <row r="75">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c r="AA75" s="142"/>
      <c r="AB75" s="142"/>
      <c r="AC75" s="142"/>
      <c r="AD75" s="142"/>
      <c r="AE75" s="142"/>
      <c r="AF75" s="142"/>
      <c r="AG75" s="142"/>
      <c r="AH75" s="142"/>
      <c r="AI75" s="142"/>
      <c r="AJ75" s="142"/>
      <c r="AK75" s="142"/>
      <c r="AL75" s="142"/>
      <c r="AM75" s="142"/>
      <c r="AN75" s="142"/>
    </row>
    <row r="76">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c r="AA76" s="142"/>
      <c r="AB76" s="142"/>
      <c r="AC76" s="142"/>
      <c r="AD76" s="142"/>
      <c r="AE76" s="142"/>
      <c r="AF76" s="142"/>
      <c r="AG76" s="142"/>
      <c r="AH76" s="142"/>
      <c r="AI76" s="142"/>
      <c r="AJ76" s="142"/>
      <c r="AK76" s="142"/>
      <c r="AL76" s="142"/>
      <c r="AM76" s="142"/>
      <c r="AN76" s="142"/>
    </row>
    <row r="77">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c r="AA77" s="142"/>
      <c r="AB77" s="142"/>
      <c r="AC77" s="142"/>
      <c r="AD77" s="142"/>
      <c r="AE77" s="142"/>
      <c r="AF77" s="142"/>
      <c r="AG77" s="142"/>
      <c r="AH77" s="142"/>
      <c r="AI77" s="142"/>
      <c r="AJ77" s="142"/>
      <c r="AK77" s="142"/>
      <c r="AL77" s="142"/>
      <c r="AM77" s="142"/>
      <c r="AN77" s="142"/>
    </row>
    <row r="78">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c r="AA78" s="142"/>
      <c r="AB78" s="142"/>
      <c r="AC78" s="142"/>
      <c r="AD78" s="142"/>
      <c r="AE78" s="142"/>
      <c r="AF78" s="142"/>
      <c r="AG78" s="142"/>
      <c r="AH78" s="142"/>
      <c r="AI78" s="142"/>
      <c r="AJ78" s="142"/>
      <c r="AK78" s="142"/>
      <c r="AL78" s="142"/>
      <c r="AM78" s="142"/>
      <c r="AN78" s="142"/>
    </row>
    <row r="79">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c r="AA79" s="142"/>
      <c r="AB79" s="142"/>
      <c r="AC79" s="142"/>
      <c r="AD79" s="142"/>
      <c r="AE79" s="142"/>
      <c r="AF79" s="142"/>
      <c r="AG79" s="142"/>
      <c r="AH79" s="142"/>
      <c r="AI79" s="142"/>
      <c r="AJ79" s="142"/>
      <c r="AK79" s="142"/>
      <c r="AL79" s="142"/>
      <c r="AM79" s="142"/>
      <c r="AN79" s="142"/>
    </row>
    <row r="80">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c r="AA80" s="142"/>
      <c r="AB80" s="142"/>
      <c r="AC80" s="142"/>
      <c r="AD80" s="142"/>
      <c r="AE80" s="142"/>
      <c r="AF80" s="142"/>
      <c r="AG80" s="142"/>
      <c r="AH80" s="142"/>
      <c r="AI80" s="142"/>
      <c r="AJ80" s="142"/>
      <c r="AK80" s="142"/>
      <c r="AL80" s="142"/>
      <c r="AM80" s="142"/>
      <c r="AN80" s="142"/>
    </row>
    <row r="8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c r="AA81" s="142"/>
      <c r="AB81" s="142"/>
      <c r="AC81" s="142"/>
      <c r="AD81" s="142"/>
      <c r="AE81" s="142"/>
      <c r="AF81" s="142"/>
      <c r="AG81" s="142"/>
      <c r="AH81" s="142"/>
      <c r="AI81" s="142"/>
      <c r="AJ81" s="142"/>
      <c r="AK81" s="142"/>
      <c r="AL81" s="142"/>
      <c r="AM81" s="142"/>
      <c r="AN81" s="142"/>
    </row>
    <row r="82">
      <c r="A82" s="396"/>
      <c r="B82" s="142"/>
      <c r="C82" s="142"/>
      <c r="D82" s="142"/>
      <c r="E82" s="142"/>
      <c r="F82" s="142"/>
      <c r="G82" s="142"/>
      <c r="H82" s="142"/>
      <c r="I82" s="142"/>
      <c r="J82" s="142"/>
      <c r="K82" s="142"/>
      <c r="L82" s="142"/>
      <c r="M82" s="142"/>
      <c r="N82" s="396"/>
      <c r="O82" s="142"/>
      <c r="P82" s="142"/>
      <c r="Q82" s="142"/>
      <c r="R82" s="142"/>
      <c r="S82" s="142"/>
      <c r="T82" s="142"/>
      <c r="U82" s="142"/>
      <c r="V82" s="142"/>
      <c r="W82" s="142"/>
      <c r="X82" s="142"/>
      <c r="Y82" s="142"/>
      <c r="Z82" s="142"/>
      <c r="AA82" s="142"/>
      <c r="AB82" s="142"/>
      <c r="AC82" s="142"/>
      <c r="AD82" s="142"/>
      <c r="AE82" s="142"/>
      <c r="AF82" s="142"/>
      <c r="AG82" s="142"/>
      <c r="AH82" s="142"/>
      <c r="AI82" s="142"/>
      <c r="AJ82" s="142"/>
      <c r="AK82" s="142"/>
      <c r="AL82" s="142"/>
      <c r="AM82" s="142"/>
      <c r="AN82" s="142"/>
    </row>
    <row r="83">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c r="AA83" s="142"/>
      <c r="AB83" s="142"/>
      <c r="AC83" s="142"/>
      <c r="AD83" s="142"/>
      <c r="AE83" s="142"/>
      <c r="AF83" s="142"/>
      <c r="AG83" s="142"/>
      <c r="AH83" s="142"/>
      <c r="AI83" s="142"/>
      <c r="AJ83" s="142"/>
      <c r="AK83" s="142"/>
      <c r="AL83" s="142"/>
      <c r="AM83" s="142"/>
      <c r="AN83" s="142"/>
    </row>
    <row r="84">
      <c r="A84" s="396"/>
      <c r="B84" s="142"/>
      <c r="C84" s="142"/>
      <c r="D84" s="142"/>
      <c r="E84" s="142"/>
      <c r="F84" s="142"/>
      <c r="G84" s="142"/>
      <c r="H84" s="142"/>
      <c r="I84" s="142"/>
      <c r="J84" s="142"/>
      <c r="K84" s="142"/>
      <c r="L84" s="142"/>
      <c r="M84" s="142"/>
      <c r="N84" s="396"/>
      <c r="O84" s="142"/>
      <c r="P84" s="142"/>
      <c r="Q84" s="142"/>
      <c r="R84" s="142"/>
      <c r="S84" s="142"/>
      <c r="T84" s="142"/>
      <c r="U84" s="142"/>
      <c r="V84" s="142"/>
      <c r="W84" s="142"/>
      <c r="X84" s="142"/>
      <c r="Y84" s="142"/>
      <c r="Z84" s="142"/>
      <c r="AA84" s="142"/>
      <c r="AB84" s="142"/>
      <c r="AC84" s="142"/>
      <c r="AD84" s="142"/>
      <c r="AE84" s="142"/>
      <c r="AF84" s="142"/>
      <c r="AG84" s="142"/>
      <c r="AH84" s="142"/>
      <c r="AI84" s="142"/>
      <c r="AJ84" s="142"/>
      <c r="AK84" s="142"/>
      <c r="AL84" s="142"/>
      <c r="AM84" s="142"/>
      <c r="AN84" s="142"/>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row>
  </sheetData>
  <mergeCells count="302">
    <mergeCell ref="B5:AM5"/>
    <mergeCell ref="C6:M6"/>
    <mergeCell ref="P6:Z6"/>
    <mergeCell ref="AC6:AM6"/>
    <mergeCell ref="B7:C7"/>
    <mergeCell ref="D7:G7"/>
    <mergeCell ref="H7:K7"/>
    <mergeCell ref="AL7:AM7"/>
    <mergeCell ref="L7:M7"/>
    <mergeCell ref="O7:P7"/>
    <mergeCell ref="B8:F8"/>
    <mergeCell ref="G8:I8"/>
    <mergeCell ref="J8:K8"/>
    <mergeCell ref="L8:M8"/>
    <mergeCell ref="O8:S8"/>
    <mergeCell ref="O13:Z13"/>
    <mergeCell ref="AB13:AM13"/>
    <mergeCell ref="B10:M10"/>
    <mergeCell ref="O10:Z10"/>
    <mergeCell ref="AB10:AM10"/>
    <mergeCell ref="B11:M11"/>
    <mergeCell ref="O11:Z11"/>
    <mergeCell ref="AB11:AM11"/>
    <mergeCell ref="B13:M13"/>
    <mergeCell ref="U15:X15"/>
    <mergeCell ref="Y15:Z15"/>
    <mergeCell ref="AB15:AC15"/>
    <mergeCell ref="AD15:AG15"/>
    <mergeCell ref="AH15:AK15"/>
    <mergeCell ref="AL15:AM15"/>
    <mergeCell ref="C14:M14"/>
    <mergeCell ref="P14:Z14"/>
    <mergeCell ref="AC14:AM14"/>
    <mergeCell ref="B15:C15"/>
    <mergeCell ref="D15:G15"/>
    <mergeCell ref="H15:K15"/>
    <mergeCell ref="L15:M15"/>
    <mergeCell ref="B2:S2"/>
    <mergeCell ref="B3:C3"/>
    <mergeCell ref="E3:F3"/>
    <mergeCell ref="H3:I3"/>
    <mergeCell ref="K3:L3"/>
    <mergeCell ref="N3:O3"/>
    <mergeCell ref="Q3:R3"/>
    <mergeCell ref="Q7:T7"/>
    <mergeCell ref="U7:X7"/>
    <mergeCell ref="Y7:Z7"/>
    <mergeCell ref="AB7:AC7"/>
    <mergeCell ref="AD7:AG7"/>
    <mergeCell ref="AH7:AK7"/>
    <mergeCell ref="T8:V8"/>
    <mergeCell ref="W8:X8"/>
    <mergeCell ref="Y8:Z8"/>
    <mergeCell ref="AB8:AF8"/>
    <mergeCell ref="AG8:AI8"/>
    <mergeCell ref="AJ8:AK8"/>
    <mergeCell ref="AL8:AM8"/>
    <mergeCell ref="B9:D9"/>
    <mergeCell ref="E9:M9"/>
    <mergeCell ref="O9:Q9"/>
    <mergeCell ref="R9:Z9"/>
    <mergeCell ref="AB9:AD9"/>
    <mergeCell ref="AE9:AM9"/>
    <mergeCell ref="T16:V16"/>
    <mergeCell ref="W16:X16"/>
    <mergeCell ref="Y16:Z16"/>
    <mergeCell ref="AB16:AF16"/>
    <mergeCell ref="AG16:AI16"/>
    <mergeCell ref="AJ16:AK16"/>
    <mergeCell ref="AL16:AM16"/>
    <mergeCell ref="AH23:AK23"/>
    <mergeCell ref="AL23:AM23"/>
    <mergeCell ref="C22:M22"/>
    <mergeCell ref="P22:Z22"/>
    <mergeCell ref="AC22:AM22"/>
    <mergeCell ref="B23:C23"/>
    <mergeCell ref="D23:G23"/>
    <mergeCell ref="H23:K23"/>
    <mergeCell ref="L23:M23"/>
    <mergeCell ref="U23:X23"/>
    <mergeCell ref="Y23:Z23"/>
    <mergeCell ref="O23:P23"/>
    <mergeCell ref="Q23:T23"/>
    <mergeCell ref="B24:F24"/>
    <mergeCell ref="G24:I24"/>
    <mergeCell ref="J24:K24"/>
    <mergeCell ref="L24:M24"/>
    <mergeCell ref="O24:S24"/>
    <mergeCell ref="O26:Z26"/>
    <mergeCell ref="AB26:AM26"/>
    <mergeCell ref="B25:D25"/>
    <mergeCell ref="E25:M25"/>
    <mergeCell ref="O25:Q25"/>
    <mergeCell ref="R25:Z25"/>
    <mergeCell ref="AB25:AD25"/>
    <mergeCell ref="AE25:AM25"/>
    <mergeCell ref="B26:M26"/>
    <mergeCell ref="AB29:AM29"/>
    <mergeCell ref="AC30:AM30"/>
    <mergeCell ref="B27:M27"/>
    <mergeCell ref="O27:Z27"/>
    <mergeCell ref="AB27:AM27"/>
    <mergeCell ref="B29:M29"/>
    <mergeCell ref="O29:Z29"/>
    <mergeCell ref="C30:M30"/>
    <mergeCell ref="P30:Z30"/>
    <mergeCell ref="Y31:Z31"/>
    <mergeCell ref="AB31:AC31"/>
    <mergeCell ref="AD31:AG31"/>
    <mergeCell ref="AH31:AK31"/>
    <mergeCell ref="AL31:AM31"/>
    <mergeCell ref="B31:C31"/>
    <mergeCell ref="D31:G31"/>
    <mergeCell ref="H31:K31"/>
    <mergeCell ref="L31:M31"/>
    <mergeCell ref="O31:P31"/>
    <mergeCell ref="Q31:T31"/>
    <mergeCell ref="U31:X31"/>
    <mergeCell ref="Y32:Z32"/>
    <mergeCell ref="AB32:AF32"/>
    <mergeCell ref="AG32:AI32"/>
    <mergeCell ref="AJ32:AK32"/>
    <mergeCell ref="AL32:AM32"/>
    <mergeCell ref="B32:F32"/>
    <mergeCell ref="G32:I32"/>
    <mergeCell ref="J32:K32"/>
    <mergeCell ref="L32:M32"/>
    <mergeCell ref="O32:S32"/>
    <mergeCell ref="T32:V32"/>
    <mergeCell ref="W32:X32"/>
    <mergeCell ref="O34:Z34"/>
    <mergeCell ref="AB34:AM34"/>
    <mergeCell ref="B33:D33"/>
    <mergeCell ref="E33:M33"/>
    <mergeCell ref="O33:Q33"/>
    <mergeCell ref="R33:Z33"/>
    <mergeCell ref="AB33:AD33"/>
    <mergeCell ref="AE33:AM33"/>
    <mergeCell ref="B34:M34"/>
    <mergeCell ref="Y39:Z39"/>
    <mergeCell ref="AB39:AC39"/>
    <mergeCell ref="AD39:AG39"/>
    <mergeCell ref="AH39:AK39"/>
    <mergeCell ref="AL39:AM39"/>
    <mergeCell ref="B39:C39"/>
    <mergeCell ref="D39:G39"/>
    <mergeCell ref="H39:K39"/>
    <mergeCell ref="L39:M39"/>
    <mergeCell ref="O39:P39"/>
    <mergeCell ref="Q39:T39"/>
    <mergeCell ref="U39:X39"/>
    <mergeCell ref="Y40:Z40"/>
    <mergeCell ref="AB40:AF40"/>
    <mergeCell ref="AG40:AI40"/>
    <mergeCell ref="AJ40:AK40"/>
    <mergeCell ref="AL40:AM40"/>
    <mergeCell ref="B40:F40"/>
    <mergeCell ref="G40:I40"/>
    <mergeCell ref="J40:K40"/>
    <mergeCell ref="L40:M40"/>
    <mergeCell ref="O40:S40"/>
    <mergeCell ref="T40:V40"/>
    <mergeCell ref="W40:X40"/>
    <mergeCell ref="O42:Z42"/>
    <mergeCell ref="AB42:AM42"/>
    <mergeCell ref="B41:D41"/>
    <mergeCell ref="E41:M41"/>
    <mergeCell ref="O41:Q41"/>
    <mergeCell ref="R41:Z41"/>
    <mergeCell ref="AB41:AD41"/>
    <mergeCell ref="AE41:AM41"/>
    <mergeCell ref="B42:M42"/>
    <mergeCell ref="AB53:AM53"/>
    <mergeCell ref="AC54:AM54"/>
    <mergeCell ref="B51:M51"/>
    <mergeCell ref="O51:Z51"/>
    <mergeCell ref="AB51:AM51"/>
    <mergeCell ref="B53:M53"/>
    <mergeCell ref="O53:Z53"/>
    <mergeCell ref="C54:M54"/>
    <mergeCell ref="P54:Z54"/>
    <mergeCell ref="O58:Z58"/>
    <mergeCell ref="AB58:AM58"/>
    <mergeCell ref="B57:D57"/>
    <mergeCell ref="E57:M57"/>
    <mergeCell ref="O57:Q57"/>
    <mergeCell ref="R57:Z57"/>
    <mergeCell ref="AB57:AD57"/>
    <mergeCell ref="AE57:AM57"/>
    <mergeCell ref="B58:M58"/>
    <mergeCell ref="B17:D17"/>
    <mergeCell ref="E17:M17"/>
    <mergeCell ref="O17:Q17"/>
    <mergeCell ref="R17:Z17"/>
    <mergeCell ref="AB17:AD17"/>
    <mergeCell ref="AE17:AM17"/>
    <mergeCell ref="O15:P15"/>
    <mergeCell ref="Q15:T15"/>
    <mergeCell ref="B16:F16"/>
    <mergeCell ref="G16:I16"/>
    <mergeCell ref="J16:K16"/>
    <mergeCell ref="L16:M16"/>
    <mergeCell ref="O16:S16"/>
    <mergeCell ref="O21:Z21"/>
    <mergeCell ref="AB21:AM21"/>
    <mergeCell ref="B18:M18"/>
    <mergeCell ref="O18:Z18"/>
    <mergeCell ref="AB18:AM18"/>
    <mergeCell ref="B19:M19"/>
    <mergeCell ref="O19:Z19"/>
    <mergeCell ref="AB19:AM19"/>
    <mergeCell ref="B21:M21"/>
    <mergeCell ref="AB23:AC23"/>
    <mergeCell ref="AD23:AG23"/>
    <mergeCell ref="T24:V24"/>
    <mergeCell ref="W24:X24"/>
    <mergeCell ref="Y24:Z24"/>
    <mergeCell ref="AB24:AF24"/>
    <mergeCell ref="AG24:AI24"/>
    <mergeCell ref="AJ24:AK24"/>
    <mergeCell ref="AL24:AM24"/>
    <mergeCell ref="B59:M59"/>
    <mergeCell ref="O59:Z59"/>
    <mergeCell ref="AB59:AM59"/>
    <mergeCell ref="B61:M61"/>
    <mergeCell ref="O61:Z61"/>
    <mergeCell ref="AB61:AM61"/>
    <mergeCell ref="AB37:AM37"/>
    <mergeCell ref="AC38:AM38"/>
    <mergeCell ref="B35:M35"/>
    <mergeCell ref="O35:Z35"/>
    <mergeCell ref="AB35:AM35"/>
    <mergeCell ref="B37:M37"/>
    <mergeCell ref="O37:Z37"/>
    <mergeCell ref="C38:M38"/>
    <mergeCell ref="P38:Z38"/>
    <mergeCell ref="AB45:AM45"/>
    <mergeCell ref="AC46:AM46"/>
    <mergeCell ref="B43:M43"/>
    <mergeCell ref="O43:Z43"/>
    <mergeCell ref="AB43:AM43"/>
    <mergeCell ref="B45:M45"/>
    <mergeCell ref="O45:Z45"/>
    <mergeCell ref="C46:M46"/>
    <mergeCell ref="P46:Z46"/>
    <mergeCell ref="Y47:Z47"/>
    <mergeCell ref="AB47:AC47"/>
    <mergeCell ref="AD47:AG47"/>
    <mergeCell ref="AH47:AK47"/>
    <mergeCell ref="AL47:AM47"/>
    <mergeCell ref="B47:C47"/>
    <mergeCell ref="D47:G47"/>
    <mergeCell ref="H47:K47"/>
    <mergeCell ref="L47:M47"/>
    <mergeCell ref="O47:P47"/>
    <mergeCell ref="Q47:T47"/>
    <mergeCell ref="U47:X47"/>
    <mergeCell ref="Y48:Z48"/>
    <mergeCell ref="AB48:AF48"/>
    <mergeCell ref="AG48:AI48"/>
    <mergeCell ref="AJ48:AK48"/>
    <mergeCell ref="AL48:AM48"/>
    <mergeCell ref="B48:F48"/>
    <mergeCell ref="G48:I48"/>
    <mergeCell ref="J48:K48"/>
    <mergeCell ref="L48:M48"/>
    <mergeCell ref="O48:S48"/>
    <mergeCell ref="T48:V48"/>
    <mergeCell ref="W48:X48"/>
    <mergeCell ref="O50:Z50"/>
    <mergeCell ref="AB50:AM50"/>
    <mergeCell ref="B49:D49"/>
    <mergeCell ref="E49:M49"/>
    <mergeCell ref="O49:Q49"/>
    <mergeCell ref="R49:Z49"/>
    <mergeCell ref="AB49:AD49"/>
    <mergeCell ref="AE49:AM49"/>
    <mergeCell ref="B50:M50"/>
    <mergeCell ref="Y55:Z55"/>
    <mergeCell ref="AB55:AC55"/>
    <mergeCell ref="AD55:AG55"/>
    <mergeCell ref="AH55:AK55"/>
    <mergeCell ref="AL55:AM55"/>
    <mergeCell ref="B55:C55"/>
    <mergeCell ref="D55:G55"/>
    <mergeCell ref="H55:K55"/>
    <mergeCell ref="L55:M55"/>
    <mergeCell ref="O55:P55"/>
    <mergeCell ref="Q55:T55"/>
    <mergeCell ref="U55:X55"/>
    <mergeCell ref="Y56:Z56"/>
    <mergeCell ref="AB56:AF56"/>
    <mergeCell ref="AG56:AI56"/>
    <mergeCell ref="AJ56:AK56"/>
    <mergeCell ref="AL56:AM56"/>
    <mergeCell ref="B56:F56"/>
    <mergeCell ref="G56:I56"/>
    <mergeCell ref="J56:K56"/>
    <mergeCell ref="L56:M56"/>
    <mergeCell ref="O56:S56"/>
    <mergeCell ref="T56:V56"/>
    <mergeCell ref="W56:X56"/>
  </mergeCells>
  <drawing r:id="rId1"/>
  <tableParts count="6">
    <tablePart r:id="rId8"/>
    <tablePart r:id="rId9"/>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3" width="3.13"/>
  </cols>
  <sheetData>
    <row r="1">
      <c r="A1" s="459"/>
      <c r="B1" s="350"/>
      <c r="BK1" s="460"/>
    </row>
    <row r="2">
      <c r="A2" s="461"/>
      <c r="B2" s="462"/>
      <c r="C2" s="463" t="s">
        <v>302</v>
      </c>
      <c r="D2" s="39"/>
      <c r="E2" s="464"/>
      <c r="F2" s="465"/>
      <c r="G2" s="39"/>
      <c r="H2" s="39"/>
      <c r="I2" s="39"/>
      <c r="J2" s="39"/>
      <c r="K2" s="39"/>
      <c r="L2" s="466"/>
      <c r="M2" s="467"/>
      <c r="N2" s="468"/>
      <c r="O2" s="350"/>
      <c r="P2" s="469" t="s">
        <v>303</v>
      </c>
      <c r="Q2" s="7"/>
      <c r="R2" s="7"/>
      <c r="S2" s="7"/>
      <c r="T2" s="5"/>
      <c r="U2" s="350"/>
      <c r="V2" s="470"/>
      <c r="W2" s="471"/>
      <c r="X2" s="472"/>
      <c r="Y2" s="473">
        <v>40.0</v>
      </c>
      <c r="Z2" s="473" t="s">
        <v>304</v>
      </c>
      <c r="AA2" s="473"/>
      <c r="AB2" s="474"/>
      <c r="AC2" s="475"/>
      <c r="AD2" s="476">
        <v>0.0</v>
      </c>
      <c r="AE2" s="39"/>
      <c r="AF2" s="464"/>
      <c r="AG2" s="474"/>
      <c r="AH2" s="467"/>
      <c r="AI2" s="477"/>
      <c r="AJ2" s="350"/>
      <c r="AK2" s="478" t="s">
        <v>302</v>
      </c>
      <c r="AL2" s="7"/>
      <c r="AM2" s="5"/>
      <c r="AN2" s="479" t="str">
        <f>F2</f>
        <v/>
      </c>
      <c r="AO2" s="7"/>
      <c r="AP2" s="7"/>
      <c r="AQ2" s="7"/>
      <c r="AR2" s="7"/>
      <c r="AS2" s="7"/>
      <c r="AT2" s="5"/>
      <c r="AU2" s="480" t="s">
        <v>305</v>
      </c>
      <c r="AV2" s="7"/>
      <c r="AW2" s="7"/>
      <c r="AX2" s="7"/>
      <c r="AY2" s="7"/>
      <c r="AZ2" s="7"/>
      <c r="BA2" s="7"/>
      <c r="BB2" s="7"/>
      <c r="BC2" s="7"/>
      <c r="BD2" s="7"/>
      <c r="BE2" s="7"/>
      <c r="BF2" s="7"/>
      <c r="BG2" s="7"/>
      <c r="BH2" s="7"/>
      <c r="BI2" s="5"/>
      <c r="BJ2" s="350"/>
      <c r="BK2" s="19"/>
    </row>
    <row r="3">
      <c r="A3" s="461"/>
      <c r="B3" s="68"/>
      <c r="C3" s="481"/>
      <c r="D3" s="11"/>
      <c r="E3" s="11"/>
      <c r="F3" s="11"/>
      <c r="G3" s="11"/>
      <c r="H3" s="11"/>
      <c r="I3" s="11"/>
      <c r="J3" s="11"/>
      <c r="K3" s="11"/>
      <c r="L3" s="12"/>
      <c r="M3" s="482"/>
      <c r="N3" s="477"/>
      <c r="P3" s="483" t="s">
        <v>306</v>
      </c>
      <c r="Q3" s="7"/>
      <c r="R3" s="7"/>
      <c r="S3" s="7"/>
      <c r="T3" s="5"/>
      <c r="V3" s="470"/>
      <c r="W3" s="484"/>
      <c r="X3" s="485"/>
      <c r="Y3" s="486" t="s">
        <v>307</v>
      </c>
      <c r="AA3" s="357"/>
      <c r="AB3" s="487"/>
      <c r="AC3" s="488"/>
      <c r="AD3" s="489" t="s">
        <v>308</v>
      </c>
      <c r="AE3" s="31"/>
      <c r="AF3" s="377"/>
      <c r="AG3" s="487"/>
      <c r="AH3" s="482"/>
      <c r="AI3" s="477"/>
      <c r="AK3" s="490" t="s">
        <v>309</v>
      </c>
      <c r="AL3" s="11"/>
      <c r="AM3" s="11"/>
      <c r="AN3" s="11"/>
      <c r="AO3" s="12"/>
      <c r="AP3" s="491"/>
      <c r="AQ3" s="11"/>
      <c r="AR3" s="11"/>
      <c r="AS3" s="11"/>
      <c r="AT3" s="11"/>
      <c r="AU3" s="11"/>
      <c r="AV3" s="11"/>
      <c r="AW3" s="11"/>
      <c r="AX3" s="11"/>
      <c r="AY3" s="11"/>
      <c r="AZ3" s="11"/>
      <c r="BA3" s="11"/>
      <c r="BB3" s="11"/>
      <c r="BC3" s="11"/>
      <c r="BD3" s="11"/>
      <c r="BE3" s="11"/>
      <c r="BF3" s="11"/>
      <c r="BG3" s="11"/>
      <c r="BH3" s="11"/>
      <c r="BI3" s="12"/>
      <c r="BK3" s="19"/>
    </row>
    <row r="4">
      <c r="A4" s="461"/>
      <c r="B4" s="68"/>
      <c r="C4" s="18"/>
      <c r="L4" s="19"/>
      <c r="M4" s="482"/>
      <c r="N4" s="477"/>
      <c r="P4" s="492"/>
      <c r="Q4" s="11"/>
      <c r="R4" s="11"/>
      <c r="S4" s="11"/>
      <c r="T4" s="12"/>
      <c r="V4" s="470"/>
      <c r="W4" s="484"/>
      <c r="X4" s="493"/>
      <c r="Y4" s="7"/>
      <c r="Z4" s="7"/>
      <c r="AA4" s="7"/>
      <c r="AB4" s="7"/>
      <c r="AC4" s="7"/>
      <c r="AD4" s="7"/>
      <c r="AE4" s="7"/>
      <c r="AF4" s="7"/>
      <c r="AG4" s="5"/>
      <c r="AH4" s="482"/>
      <c r="AI4" s="477"/>
      <c r="AK4" s="18"/>
      <c r="AO4" s="19"/>
      <c r="AP4" s="18"/>
      <c r="BI4" s="19"/>
      <c r="BK4" s="19"/>
    </row>
    <row r="5">
      <c r="A5" s="461"/>
      <c r="B5" s="68"/>
      <c r="C5" s="18"/>
      <c r="L5" s="19"/>
      <c r="M5" s="482"/>
      <c r="N5" s="477"/>
      <c r="P5" s="21"/>
      <c r="Q5" s="31"/>
      <c r="R5" s="31"/>
      <c r="S5" s="31"/>
      <c r="T5" s="22"/>
      <c r="V5" s="470"/>
      <c r="W5" s="484"/>
      <c r="X5" s="350"/>
      <c r="Y5" s="494"/>
      <c r="Z5" s="346"/>
      <c r="AA5" s="495"/>
      <c r="AB5" s="496"/>
      <c r="AC5" s="496"/>
      <c r="AD5" s="350"/>
      <c r="AE5" s="497"/>
      <c r="AF5" s="346"/>
      <c r="AG5" s="498"/>
      <c r="AH5" s="482"/>
      <c r="AI5" s="477"/>
      <c r="AK5" s="18"/>
      <c r="AO5" s="19"/>
      <c r="AP5" s="18"/>
      <c r="BI5" s="19"/>
      <c r="BK5" s="19"/>
    </row>
    <row r="6">
      <c r="A6" s="461"/>
      <c r="B6" s="68"/>
      <c r="C6" s="18"/>
      <c r="L6" s="19"/>
      <c r="M6" s="482"/>
      <c r="N6" s="477"/>
      <c r="P6" s="499" t="s">
        <v>30</v>
      </c>
      <c r="Q6" s="7"/>
      <c r="R6" s="7"/>
      <c r="S6" s="7"/>
      <c r="T6" s="5"/>
      <c r="V6" s="470"/>
      <c r="W6" s="484"/>
      <c r="Y6" s="500"/>
      <c r="Z6" s="377"/>
      <c r="AA6" s="488"/>
      <c r="AB6" s="501"/>
      <c r="AC6" s="501"/>
      <c r="AE6" s="500"/>
      <c r="AF6" s="377"/>
      <c r="AG6" s="487"/>
      <c r="AH6" s="482"/>
      <c r="AI6" s="477"/>
      <c r="AK6" s="502" t="s">
        <v>310</v>
      </c>
      <c r="AL6" s="11"/>
      <c r="AM6" s="11"/>
      <c r="AN6" s="11"/>
      <c r="AO6" s="12"/>
      <c r="AP6" s="503"/>
      <c r="AQ6" s="504"/>
      <c r="AR6" s="504"/>
      <c r="AS6" s="504"/>
      <c r="AT6" s="504"/>
      <c r="AU6" s="504"/>
      <c r="AV6" s="504"/>
      <c r="AW6" s="504"/>
      <c r="AX6" s="504"/>
      <c r="AY6" s="504"/>
      <c r="AZ6" s="504"/>
      <c r="BA6" s="504"/>
      <c r="BB6" s="504"/>
      <c r="BC6" s="504"/>
      <c r="BD6" s="504"/>
      <c r="BE6" s="504"/>
      <c r="BF6" s="504"/>
      <c r="BG6" s="504"/>
      <c r="BH6" s="504"/>
      <c r="BI6" s="505"/>
      <c r="BK6" s="19"/>
    </row>
    <row r="7">
      <c r="A7" s="461"/>
      <c r="B7" s="68"/>
      <c r="C7" s="18"/>
      <c r="L7" s="19"/>
      <c r="M7" s="482"/>
      <c r="N7" s="477"/>
      <c r="P7" s="506" t="s">
        <v>31</v>
      </c>
      <c r="Q7" s="507"/>
      <c r="R7" s="508"/>
      <c r="S7" s="509" t="s">
        <v>311</v>
      </c>
      <c r="T7" s="510"/>
      <c r="V7" s="470"/>
      <c r="W7" s="511"/>
      <c r="X7" s="512" t="s">
        <v>39</v>
      </c>
      <c r="Y7" s="513"/>
      <c r="Z7" s="513"/>
      <c r="AA7" s="514"/>
      <c r="AB7" s="515">
        <v>0.0</v>
      </c>
      <c r="AC7" s="516"/>
      <c r="AD7" s="512" t="s">
        <v>312</v>
      </c>
      <c r="AE7" s="513"/>
      <c r="AF7" s="513"/>
      <c r="AG7" s="514"/>
      <c r="AH7" s="517"/>
      <c r="AI7" s="477"/>
      <c r="AK7" s="518"/>
      <c r="AO7" s="19"/>
      <c r="AP7" s="18"/>
      <c r="BI7" s="19"/>
      <c r="BK7" s="19"/>
    </row>
    <row r="8">
      <c r="A8" s="461"/>
      <c r="B8" s="68"/>
      <c r="C8" s="18"/>
      <c r="L8" s="19"/>
      <c r="M8" s="482"/>
      <c r="N8" s="477"/>
      <c r="P8" s="519"/>
      <c r="Q8" s="520"/>
      <c r="R8" s="521"/>
      <c r="S8" s="522">
        <v>0.0</v>
      </c>
      <c r="T8" s="523"/>
      <c r="V8" s="470"/>
      <c r="W8" s="524"/>
      <c r="X8" s="475"/>
      <c r="Y8" s="475"/>
      <c r="Z8" s="475"/>
      <c r="AA8" s="475"/>
      <c r="AB8" s="475"/>
      <c r="AC8" s="475"/>
      <c r="AD8" s="475"/>
      <c r="AE8" s="475"/>
      <c r="AF8" s="475"/>
      <c r="AG8" s="475"/>
      <c r="AH8" s="525"/>
      <c r="AI8" s="477"/>
      <c r="AK8" s="21"/>
      <c r="AL8" s="31"/>
      <c r="AM8" s="31"/>
      <c r="AN8" s="31"/>
      <c r="AO8" s="22"/>
      <c r="AP8" s="21"/>
      <c r="AQ8" s="31"/>
      <c r="AR8" s="31"/>
      <c r="AS8" s="31"/>
      <c r="AT8" s="31"/>
      <c r="AU8" s="31"/>
      <c r="AV8" s="31"/>
      <c r="AW8" s="31"/>
      <c r="AX8" s="31"/>
      <c r="AY8" s="31"/>
      <c r="AZ8" s="31"/>
      <c r="BA8" s="31"/>
      <c r="BB8" s="31"/>
      <c r="BC8" s="31"/>
      <c r="BD8" s="31"/>
      <c r="BE8" s="31"/>
      <c r="BF8" s="31"/>
      <c r="BG8" s="31"/>
      <c r="BH8" s="31"/>
      <c r="BI8" s="22"/>
      <c r="BK8" s="19"/>
    </row>
    <row r="9">
      <c r="A9" s="461"/>
      <c r="B9" s="68"/>
      <c r="C9" s="18"/>
      <c r="L9" s="19"/>
      <c r="M9" s="482"/>
      <c r="N9" s="477"/>
      <c r="P9" s="499" t="s">
        <v>35</v>
      </c>
      <c r="Q9" s="7"/>
      <c r="R9" s="7"/>
      <c r="S9" s="7"/>
      <c r="T9" s="5"/>
      <c r="V9" s="470"/>
      <c r="W9" s="484"/>
      <c r="X9" s="526" t="s">
        <v>313</v>
      </c>
      <c r="Y9" s="11"/>
      <c r="Z9" s="11"/>
      <c r="AA9" s="11"/>
      <c r="AB9" s="11"/>
      <c r="AC9" s="11"/>
      <c r="AD9" s="11"/>
      <c r="AE9" s="11"/>
      <c r="AF9" s="11"/>
      <c r="AG9" s="12"/>
      <c r="AH9" s="54"/>
      <c r="AI9" s="477"/>
      <c r="AK9" s="527" t="s">
        <v>314</v>
      </c>
      <c r="AL9" s="11"/>
      <c r="AM9" s="11"/>
      <c r="AN9" s="11"/>
      <c r="AO9" s="12"/>
      <c r="AP9" s="528"/>
      <c r="AQ9" s="11"/>
      <c r="AR9" s="11"/>
      <c r="AS9" s="11"/>
      <c r="AT9" s="11"/>
      <c r="AU9" s="11"/>
      <c r="AV9" s="11"/>
      <c r="AW9" s="11"/>
      <c r="AX9" s="11"/>
      <c r="AY9" s="11"/>
      <c r="AZ9" s="11"/>
      <c r="BA9" s="11"/>
      <c r="BB9" s="11"/>
      <c r="BC9" s="11"/>
      <c r="BD9" s="11"/>
      <c r="BE9" s="11"/>
      <c r="BF9" s="11"/>
      <c r="BG9" s="11"/>
      <c r="BH9" s="11"/>
      <c r="BI9" s="12"/>
      <c r="BK9" s="19"/>
    </row>
    <row r="10">
      <c r="A10" s="461"/>
      <c r="B10" s="68"/>
      <c r="C10" s="18"/>
      <c r="L10" s="19"/>
      <c r="M10" s="482"/>
      <c r="N10" s="477"/>
      <c r="P10" s="506" t="s">
        <v>31</v>
      </c>
      <c r="Q10" s="507"/>
      <c r="R10" s="508"/>
      <c r="S10" s="509" t="s">
        <v>311</v>
      </c>
      <c r="T10" s="510"/>
      <c r="V10" s="470"/>
      <c r="W10" s="484"/>
      <c r="X10" s="462"/>
      <c r="Y10" s="529"/>
      <c r="Z10" s="464"/>
      <c r="AA10" s="467"/>
      <c r="AB10" s="468"/>
      <c r="AC10" s="530"/>
      <c r="AD10" s="462"/>
      <c r="AE10" s="529"/>
      <c r="AF10" s="464"/>
      <c r="AG10" s="467"/>
      <c r="AH10" s="54"/>
      <c r="AI10" s="477"/>
      <c r="AK10" s="531"/>
      <c r="AO10" s="19"/>
      <c r="AP10" s="18"/>
      <c r="BI10" s="19"/>
      <c r="BK10" s="19"/>
    </row>
    <row r="11">
      <c r="A11" s="461"/>
      <c r="B11" s="68"/>
      <c r="C11" s="18"/>
      <c r="L11" s="19"/>
      <c r="M11" s="482"/>
      <c r="N11" s="477"/>
      <c r="P11" s="519"/>
      <c r="Q11" s="520"/>
      <c r="R11" s="521"/>
      <c r="S11" s="522">
        <v>0.0</v>
      </c>
      <c r="T11" s="523"/>
      <c r="V11" s="470"/>
      <c r="W11" s="484"/>
      <c r="X11" s="532"/>
      <c r="Y11" s="533"/>
      <c r="Z11" s="534"/>
      <c r="AA11" s="517"/>
      <c r="AB11" s="477"/>
      <c r="AC11" s="535">
        <v>0.0</v>
      </c>
      <c r="AD11" s="532"/>
      <c r="AE11" s="533"/>
      <c r="AF11" s="534"/>
      <c r="AG11" s="517"/>
      <c r="AH11" s="54"/>
      <c r="AI11" s="477"/>
      <c r="AK11" s="21"/>
      <c r="AL11" s="31"/>
      <c r="AM11" s="31"/>
      <c r="AN11" s="31"/>
      <c r="AO11" s="22"/>
      <c r="AP11" s="21"/>
      <c r="AQ11" s="31"/>
      <c r="AR11" s="31"/>
      <c r="AS11" s="31"/>
      <c r="AT11" s="31"/>
      <c r="AU11" s="31"/>
      <c r="AV11" s="31"/>
      <c r="AW11" s="31"/>
      <c r="AX11" s="31"/>
      <c r="AY11" s="31"/>
      <c r="AZ11" s="31"/>
      <c r="BA11" s="31"/>
      <c r="BB11" s="31"/>
      <c r="BC11" s="31"/>
      <c r="BD11" s="31"/>
      <c r="BE11" s="31"/>
      <c r="BF11" s="31"/>
      <c r="BG11" s="31"/>
      <c r="BH11" s="31"/>
      <c r="BI11" s="22"/>
      <c r="BK11" s="19"/>
    </row>
    <row r="12">
      <c r="A12" s="461"/>
      <c r="B12" s="68"/>
      <c r="C12" s="18"/>
      <c r="L12" s="19"/>
      <c r="M12" s="482"/>
      <c r="N12" s="477"/>
      <c r="P12" s="499" t="s">
        <v>37</v>
      </c>
      <c r="Q12" s="7"/>
      <c r="R12" s="7"/>
      <c r="S12" s="7"/>
      <c r="T12" s="5"/>
      <c r="V12" s="470"/>
      <c r="W12" s="484"/>
      <c r="X12" s="536" t="s">
        <v>315</v>
      </c>
      <c r="AA12" s="357"/>
      <c r="AB12" s="537"/>
      <c r="AC12" s="537"/>
      <c r="AD12" s="536" t="s">
        <v>316</v>
      </c>
      <c r="AG12" s="357"/>
      <c r="AH12" s="54"/>
      <c r="AI12" s="477"/>
      <c r="AK12" s="527" t="s">
        <v>317</v>
      </c>
      <c r="AL12" s="11"/>
      <c r="AM12" s="11"/>
      <c r="AN12" s="11"/>
      <c r="AO12" s="12"/>
      <c r="AP12" s="528"/>
      <c r="AQ12" s="11"/>
      <c r="AR12" s="11"/>
      <c r="AS12" s="11"/>
      <c r="AT12" s="11"/>
      <c r="AU12" s="11"/>
      <c r="AV12" s="11"/>
      <c r="AW12" s="11"/>
      <c r="AX12" s="11"/>
      <c r="AY12" s="11"/>
      <c r="AZ12" s="11"/>
      <c r="BA12" s="11"/>
      <c r="BB12" s="11"/>
      <c r="BC12" s="11"/>
      <c r="BD12" s="11"/>
      <c r="BE12" s="11"/>
      <c r="BF12" s="11"/>
      <c r="BG12" s="11"/>
      <c r="BH12" s="11"/>
      <c r="BI12" s="12"/>
      <c r="BK12" s="19"/>
    </row>
    <row r="13">
      <c r="A13" s="461"/>
      <c r="B13" s="68"/>
      <c r="C13" s="18"/>
      <c r="L13" s="19"/>
      <c r="M13" s="482"/>
      <c r="N13" s="477"/>
      <c r="P13" s="506" t="s">
        <v>31</v>
      </c>
      <c r="Q13" s="507"/>
      <c r="R13" s="508"/>
      <c r="S13" s="509" t="s">
        <v>311</v>
      </c>
      <c r="T13" s="510"/>
      <c r="V13" s="470"/>
      <c r="W13" s="484"/>
      <c r="X13" s="538"/>
      <c r="Y13" s="31"/>
      <c r="Z13" s="31"/>
      <c r="AA13" s="31"/>
      <c r="AB13" s="31"/>
      <c r="AC13" s="31"/>
      <c r="AD13" s="31"/>
      <c r="AE13" s="31"/>
      <c r="AF13" s="31"/>
      <c r="AG13" s="377"/>
      <c r="AH13" s="54"/>
      <c r="AI13" s="477"/>
      <c r="AK13" s="518"/>
      <c r="AO13" s="19"/>
      <c r="AP13" s="18"/>
      <c r="BI13" s="19"/>
      <c r="BK13" s="19"/>
    </row>
    <row r="14">
      <c r="A14" s="461"/>
      <c r="B14" s="68"/>
      <c r="C14" s="18"/>
      <c r="L14" s="19"/>
      <c r="M14" s="482"/>
      <c r="N14" s="477"/>
      <c r="P14" s="519"/>
      <c r="Q14" s="520"/>
      <c r="R14" s="521"/>
      <c r="S14" s="522">
        <v>0.0</v>
      </c>
      <c r="T14" s="523"/>
      <c r="V14" s="470"/>
      <c r="W14" s="484"/>
      <c r="X14" s="539" t="s">
        <v>318</v>
      </c>
      <c r="AG14" s="357"/>
      <c r="AH14" s="54"/>
      <c r="AI14" s="477"/>
      <c r="AK14" s="21"/>
      <c r="AL14" s="31"/>
      <c r="AM14" s="31"/>
      <c r="AN14" s="31"/>
      <c r="AO14" s="22"/>
      <c r="AP14" s="21"/>
      <c r="AQ14" s="31"/>
      <c r="AR14" s="31"/>
      <c r="AS14" s="31"/>
      <c r="AT14" s="31"/>
      <c r="AU14" s="31"/>
      <c r="AV14" s="31"/>
      <c r="AW14" s="31"/>
      <c r="AX14" s="31"/>
      <c r="AY14" s="31"/>
      <c r="AZ14" s="31"/>
      <c r="BA14" s="31"/>
      <c r="BB14" s="31"/>
      <c r="BC14" s="31"/>
      <c r="BD14" s="31"/>
      <c r="BE14" s="31"/>
      <c r="BF14" s="31"/>
      <c r="BG14" s="31"/>
      <c r="BH14" s="31"/>
      <c r="BI14" s="22"/>
      <c r="BK14" s="19"/>
    </row>
    <row r="15">
      <c r="A15" s="461"/>
      <c r="B15" s="68"/>
      <c r="C15" s="18"/>
      <c r="L15" s="19"/>
      <c r="M15" s="482"/>
      <c r="N15" s="477"/>
      <c r="P15" s="499" t="s">
        <v>43</v>
      </c>
      <c r="Q15" s="7"/>
      <c r="R15" s="7"/>
      <c r="S15" s="7"/>
      <c r="T15" s="5"/>
      <c r="V15" s="470"/>
      <c r="W15" s="484"/>
      <c r="X15" s="540"/>
      <c r="Y15" s="541"/>
      <c r="Z15" s="542"/>
      <c r="AA15" s="543" t="s">
        <v>319</v>
      </c>
      <c r="AB15" s="544" t="s">
        <v>320</v>
      </c>
      <c r="AC15" s="545"/>
      <c r="AD15" s="545"/>
      <c r="AE15" s="545"/>
      <c r="AF15" s="545"/>
      <c r="AG15" s="546"/>
      <c r="AH15" s="54"/>
      <c r="AI15" s="477"/>
      <c r="AK15" s="527" t="s">
        <v>321</v>
      </c>
      <c r="AL15" s="11"/>
      <c r="AM15" s="11"/>
      <c r="AN15" s="11"/>
      <c r="AO15" s="12"/>
      <c r="AP15" s="528"/>
      <c r="AQ15" s="11"/>
      <c r="AR15" s="11"/>
      <c r="AS15" s="11"/>
      <c r="AT15" s="11"/>
      <c r="AU15" s="11"/>
      <c r="AV15" s="11"/>
      <c r="AW15" s="11"/>
      <c r="AX15" s="11"/>
      <c r="AY15" s="11"/>
      <c r="AZ15" s="11"/>
      <c r="BA15" s="11"/>
      <c r="BB15" s="11"/>
      <c r="BC15" s="11"/>
      <c r="BD15" s="11"/>
      <c r="BE15" s="11"/>
      <c r="BF15" s="11"/>
      <c r="BG15" s="11"/>
      <c r="BH15" s="11"/>
      <c r="BI15" s="12"/>
      <c r="BK15" s="19"/>
    </row>
    <row r="16">
      <c r="A16" s="461"/>
      <c r="B16" s="68"/>
      <c r="C16" s="18"/>
      <c r="L16" s="19"/>
      <c r="M16" s="482"/>
      <c r="N16" s="477"/>
      <c r="P16" s="506" t="s">
        <v>31</v>
      </c>
      <c r="Q16" s="507"/>
      <c r="R16" s="508"/>
      <c r="S16" s="509" t="s">
        <v>311</v>
      </c>
      <c r="T16" s="510"/>
      <c r="V16" s="470"/>
      <c r="W16" s="484"/>
      <c r="X16" s="540"/>
      <c r="Y16" s="541"/>
      <c r="Z16" s="542"/>
      <c r="AA16" s="543" t="s">
        <v>322</v>
      </c>
      <c r="AB16" s="544" t="s">
        <v>320</v>
      </c>
      <c r="AC16" s="545"/>
      <c r="AD16" s="545"/>
      <c r="AE16" s="545"/>
      <c r="AF16" s="545"/>
      <c r="AG16" s="546"/>
      <c r="AH16" s="54"/>
      <c r="AI16" s="477"/>
      <c r="AK16" s="547"/>
      <c r="AO16" s="19"/>
      <c r="AP16" s="18"/>
      <c r="BI16" s="19"/>
      <c r="BK16" s="19"/>
    </row>
    <row r="17">
      <c r="A17" s="461"/>
      <c r="B17" s="68"/>
      <c r="C17" s="21"/>
      <c r="D17" s="31"/>
      <c r="E17" s="31"/>
      <c r="F17" s="31"/>
      <c r="G17" s="31"/>
      <c r="H17" s="31"/>
      <c r="I17" s="31"/>
      <c r="J17" s="31"/>
      <c r="K17" s="31"/>
      <c r="L17" s="22"/>
      <c r="M17" s="482"/>
      <c r="N17" s="477"/>
      <c r="P17" s="519"/>
      <c r="Q17" s="520"/>
      <c r="R17" s="521"/>
      <c r="S17" s="522">
        <v>0.0</v>
      </c>
      <c r="T17" s="523"/>
      <c r="V17" s="470"/>
      <c r="W17" s="484"/>
      <c r="X17" s="540"/>
      <c r="Y17" s="541"/>
      <c r="Z17" s="542"/>
      <c r="AA17" s="543" t="s">
        <v>322</v>
      </c>
      <c r="AB17" s="544" t="s">
        <v>320</v>
      </c>
      <c r="AC17" s="545"/>
      <c r="AD17" s="545"/>
      <c r="AE17" s="545"/>
      <c r="AF17" s="545"/>
      <c r="AG17" s="546"/>
      <c r="AH17" s="54"/>
      <c r="AI17" s="477"/>
      <c r="AK17" s="21"/>
      <c r="AL17" s="31"/>
      <c r="AM17" s="31"/>
      <c r="AN17" s="31"/>
      <c r="AO17" s="22"/>
      <c r="AP17" s="21"/>
      <c r="AQ17" s="31"/>
      <c r="AR17" s="31"/>
      <c r="AS17" s="31"/>
      <c r="AT17" s="31"/>
      <c r="AU17" s="31"/>
      <c r="AV17" s="31"/>
      <c r="AW17" s="31"/>
      <c r="AX17" s="31"/>
      <c r="AY17" s="31"/>
      <c r="AZ17" s="31"/>
      <c r="BA17" s="31"/>
      <c r="BB17" s="31"/>
      <c r="BC17" s="31"/>
      <c r="BD17" s="31"/>
      <c r="BE17" s="31"/>
      <c r="BF17" s="31"/>
      <c r="BG17" s="31"/>
      <c r="BH17" s="31"/>
      <c r="BI17" s="22"/>
      <c r="BK17" s="19"/>
    </row>
    <row r="18">
      <c r="A18" s="461"/>
      <c r="B18" s="68"/>
      <c r="C18" s="548" t="s">
        <v>323</v>
      </c>
      <c r="D18" s="216"/>
      <c r="E18" s="216"/>
      <c r="F18" s="216"/>
      <c r="G18" s="485"/>
      <c r="H18" s="549" t="s">
        <v>324</v>
      </c>
      <c r="I18" s="216"/>
      <c r="J18" s="216"/>
      <c r="K18" s="216"/>
      <c r="L18" s="485"/>
      <c r="M18" s="482"/>
      <c r="N18" s="477"/>
      <c r="P18" s="499" t="s">
        <v>45</v>
      </c>
      <c r="Q18" s="7"/>
      <c r="R18" s="7"/>
      <c r="S18" s="7"/>
      <c r="T18" s="5"/>
      <c r="V18" s="470"/>
      <c r="W18" s="484"/>
      <c r="X18" s="550"/>
      <c r="Y18" s="551"/>
      <c r="Z18" s="521"/>
      <c r="AA18" s="552" t="s">
        <v>322</v>
      </c>
      <c r="AB18" s="544" t="s">
        <v>320</v>
      </c>
      <c r="AC18" s="545"/>
      <c r="AD18" s="545"/>
      <c r="AE18" s="545"/>
      <c r="AF18" s="545"/>
      <c r="AG18" s="546"/>
      <c r="AH18" s="54"/>
      <c r="AI18" s="477"/>
      <c r="AK18" s="527" t="s">
        <v>325</v>
      </c>
      <c r="AL18" s="11"/>
      <c r="AM18" s="11"/>
      <c r="AN18" s="11"/>
      <c r="AO18" s="12"/>
      <c r="AP18" s="528"/>
      <c r="AQ18" s="11"/>
      <c r="AR18" s="11"/>
      <c r="AS18" s="11"/>
      <c r="AT18" s="11"/>
      <c r="AU18" s="11"/>
      <c r="AV18" s="11"/>
      <c r="AW18" s="11"/>
      <c r="AX18" s="11"/>
      <c r="AY18" s="11"/>
      <c r="AZ18" s="11"/>
      <c r="BA18" s="11"/>
      <c r="BB18" s="11"/>
      <c r="BC18" s="11"/>
      <c r="BD18" s="11"/>
      <c r="BE18" s="11"/>
      <c r="BF18" s="11"/>
      <c r="BG18" s="11"/>
      <c r="BH18" s="11"/>
      <c r="BI18" s="12"/>
      <c r="BK18" s="19"/>
    </row>
    <row r="19">
      <c r="A19" s="461"/>
      <c r="B19" s="68"/>
      <c r="C19" s="553" t="s">
        <v>326</v>
      </c>
      <c r="D19" s="541"/>
      <c r="E19" s="541"/>
      <c r="F19" s="541"/>
      <c r="G19" s="554"/>
      <c r="H19" s="555" t="s">
        <v>327</v>
      </c>
      <c r="I19" s="216"/>
      <c r="J19" s="216"/>
      <c r="K19" s="216"/>
      <c r="L19" s="485"/>
      <c r="M19" s="482"/>
      <c r="N19" s="477"/>
      <c r="P19" s="506" t="s">
        <v>31</v>
      </c>
      <c r="Q19" s="507"/>
      <c r="R19" s="508"/>
      <c r="S19" s="509" t="s">
        <v>311</v>
      </c>
      <c r="T19" s="510"/>
      <c r="V19" s="470"/>
      <c r="W19" s="484"/>
      <c r="X19" s="550"/>
      <c r="Y19" s="551"/>
      <c r="Z19" s="521"/>
      <c r="AA19" s="552" t="s">
        <v>322</v>
      </c>
      <c r="AB19" s="544" t="s">
        <v>320</v>
      </c>
      <c r="AC19" s="545"/>
      <c r="AD19" s="545"/>
      <c r="AE19" s="545"/>
      <c r="AF19" s="545"/>
      <c r="AG19" s="546"/>
      <c r="AH19" s="54"/>
      <c r="AI19" s="477"/>
      <c r="AK19" s="518"/>
      <c r="AO19" s="19"/>
      <c r="AP19" s="18"/>
      <c r="BI19" s="19"/>
      <c r="BK19" s="19"/>
    </row>
    <row r="20">
      <c r="A20" s="461"/>
      <c r="B20" s="68"/>
      <c r="C20" s="556" t="s">
        <v>328</v>
      </c>
      <c r="D20" s="541"/>
      <c r="E20" s="541"/>
      <c r="F20" s="541"/>
      <c r="G20" s="554"/>
      <c r="H20" s="549" t="s">
        <v>329</v>
      </c>
      <c r="I20" s="216"/>
      <c r="J20" s="216"/>
      <c r="K20" s="216"/>
      <c r="L20" s="485"/>
      <c r="M20" s="482"/>
      <c r="N20" s="477"/>
      <c r="P20" s="519"/>
      <c r="Q20" s="520"/>
      <c r="R20" s="521"/>
      <c r="S20" s="522">
        <v>0.0</v>
      </c>
      <c r="T20" s="523"/>
      <c r="V20" s="470"/>
      <c r="W20" s="484"/>
      <c r="X20" s="550"/>
      <c r="Y20" s="551"/>
      <c r="Z20" s="521"/>
      <c r="AA20" s="552" t="s">
        <v>322</v>
      </c>
      <c r="AB20" s="544" t="s">
        <v>320</v>
      </c>
      <c r="AC20" s="545"/>
      <c r="AD20" s="545"/>
      <c r="AE20" s="545"/>
      <c r="AF20" s="545"/>
      <c r="AG20" s="546"/>
      <c r="AH20" s="54"/>
      <c r="AI20" s="477"/>
      <c r="AK20" s="21"/>
      <c r="AL20" s="31"/>
      <c r="AM20" s="31"/>
      <c r="AN20" s="31"/>
      <c r="AO20" s="22"/>
      <c r="AP20" s="21"/>
      <c r="AQ20" s="31"/>
      <c r="AR20" s="31"/>
      <c r="AS20" s="31"/>
      <c r="AT20" s="31"/>
      <c r="AU20" s="31"/>
      <c r="AV20" s="31"/>
      <c r="AW20" s="31"/>
      <c r="AX20" s="31"/>
      <c r="AY20" s="31"/>
      <c r="AZ20" s="31"/>
      <c r="BA20" s="31"/>
      <c r="BB20" s="31"/>
      <c r="BC20" s="31"/>
      <c r="BD20" s="31"/>
      <c r="BE20" s="31"/>
      <c r="BF20" s="31"/>
      <c r="BG20" s="31"/>
      <c r="BH20" s="31"/>
      <c r="BI20" s="22"/>
      <c r="BK20" s="19"/>
    </row>
    <row r="21">
      <c r="A21" s="461"/>
      <c r="B21" s="68"/>
      <c r="C21" s="557" t="s">
        <v>330</v>
      </c>
      <c r="D21" s="541"/>
      <c r="E21" s="541"/>
      <c r="F21" s="541"/>
      <c r="G21" s="554"/>
      <c r="H21" s="558"/>
      <c r="I21" s="559" t="s">
        <v>331</v>
      </c>
      <c r="J21" s="216"/>
      <c r="K21" s="216"/>
      <c r="L21" s="485"/>
      <c r="M21" s="482"/>
      <c r="N21" s="477"/>
      <c r="P21" s="499" t="s">
        <v>46</v>
      </c>
      <c r="Q21" s="7"/>
      <c r="R21" s="7"/>
      <c r="S21" s="7"/>
      <c r="T21" s="5"/>
      <c r="V21" s="470"/>
      <c r="W21" s="484"/>
      <c r="X21" s="550"/>
      <c r="Y21" s="551"/>
      <c r="Z21" s="521"/>
      <c r="AA21" s="552" t="s">
        <v>322</v>
      </c>
      <c r="AB21" s="544" t="s">
        <v>320</v>
      </c>
      <c r="AC21" s="545"/>
      <c r="AD21" s="545"/>
      <c r="AE21" s="545"/>
      <c r="AF21" s="545"/>
      <c r="AG21" s="546"/>
      <c r="AH21" s="54"/>
      <c r="AI21" s="477"/>
      <c r="AK21" s="560" t="s">
        <v>332</v>
      </c>
      <c r="AL21" s="11"/>
      <c r="AM21" s="11"/>
      <c r="AN21" s="11"/>
      <c r="AO21" s="12"/>
      <c r="AP21" s="528"/>
      <c r="AQ21" s="11"/>
      <c r="AR21" s="11"/>
      <c r="AS21" s="11"/>
      <c r="AT21" s="11"/>
      <c r="AU21" s="11"/>
      <c r="AV21" s="11"/>
      <c r="AW21" s="11"/>
      <c r="AX21" s="11"/>
      <c r="AY21" s="11"/>
      <c r="AZ21" s="11"/>
      <c r="BA21" s="11"/>
      <c r="BB21" s="11"/>
      <c r="BC21" s="11"/>
      <c r="BD21" s="11"/>
      <c r="BE21" s="11"/>
      <c r="BF21" s="11"/>
      <c r="BG21" s="11"/>
      <c r="BH21" s="11"/>
      <c r="BI21" s="12"/>
      <c r="BK21" s="19"/>
    </row>
    <row r="22">
      <c r="A22" s="461"/>
      <c r="B22" s="68"/>
      <c r="C22" s="561" t="s">
        <v>333</v>
      </c>
      <c r="D22" s="551"/>
      <c r="E22" s="551"/>
      <c r="F22" s="551"/>
      <c r="G22" s="562"/>
      <c r="H22" s="563" t="str">
        <f>VLOOKUP(H18,'Banco de Dados'!B128:K152,6,0)</f>
        <v>Carnivoro</v>
      </c>
      <c r="I22" s="31"/>
      <c r="J22" s="31"/>
      <c r="K22" s="31"/>
      <c r="L22" s="377"/>
      <c r="M22" s="482"/>
      <c r="N22" s="477"/>
      <c r="P22" s="506" t="s">
        <v>31</v>
      </c>
      <c r="Q22" s="507"/>
      <c r="R22" s="508"/>
      <c r="S22" s="509" t="s">
        <v>311</v>
      </c>
      <c r="T22" s="510"/>
      <c r="V22" s="470"/>
      <c r="W22" s="484"/>
      <c r="X22" s="550"/>
      <c r="Y22" s="551"/>
      <c r="Z22" s="521"/>
      <c r="AA22" s="552" t="s">
        <v>322</v>
      </c>
      <c r="AB22" s="564" t="s">
        <v>320</v>
      </c>
      <c r="AC22" s="352"/>
      <c r="AD22" s="352"/>
      <c r="AE22" s="352"/>
      <c r="AF22" s="352"/>
      <c r="AG22" s="565"/>
      <c r="AH22" s="54"/>
      <c r="AI22" s="477"/>
      <c r="AK22" s="566"/>
      <c r="AO22" s="19"/>
      <c r="AP22" s="18"/>
      <c r="BI22" s="19"/>
      <c r="BK22" s="19"/>
    </row>
    <row r="23">
      <c r="A23" s="461"/>
      <c r="B23" s="532"/>
      <c r="C23" s="567"/>
      <c r="D23" s="84"/>
      <c r="E23" s="534"/>
      <c r="F23" s="568"/>
      <c r="G23" s="84"/>
      <c r="H23" s="84"/>
      <c r="I23" s="84"/>
      <c r="J23" s="84"/>
      <c r="K23" s="84"/>
      <c r="L23" s="534"/>
      <c r="M23" s="517"/>
      <c r="N23" s="477"/>
      <c r="P23" s="519"/>
      <c r="Q23" s="520"/>
      <c r="R23" s="521"/>
      <c r="S23" s="522">
        <v>0.0</v>
      </c>
      <c r="T23" s="523"/>
      <c r="U23" s="216"/>
      <c r="V23" s="569"/>
      <c r="W23" s="511"/>
      <c r="X23" s="570"/>
      <c r="Y23" s="513"/>
      <c r="Z23" s="513"/>
      <c r="AA23" s="513"/>
      <c r="AB23" s="571"/>
      <c r="AC23" s="572"/>
      <c r="AD23" s="513"/>
      <c r="AE23" s="513"/>
      <c r="AF23" s="513"/>
      <c r="AG23" s="514"/>
      <c r="AH23" s="85"/>
      <c r="AI23" s="477"/>
      <c r="AK23" s="21"/>
      <c r="AL23" s="31"/>
      <c r="AM23" s="31"/>
      <c r="AN23" s="31"/>
      <c r="AO23" s="22"/>
      <c r="AP23" s="21"/>
      <c r="AQ23" s="31"/>
      <c r="AR23" s="31"/>
      <c r="AS23" s="31"/>
      <c r="AT23" s="31"/>
      <c r="AU23" s="31"/>
      <c r="AV23" s="31"/>
      <c r="AW23" s="31"/>
      <c r="AX23" s="31"/>
      <c r="AY23" s="31"/>
      <c r="AZ23" s="31"/>
      <c r="BA23" s="31"/>
      <c r="BB23" s="31"/>
      <c r="BC23" s="31"/>
      <c r="BD23" s="31"/>
      <c r="BE23" s="31"/>
      <c r="BF23" s="31"/>
      <c r="BG23" s="31"/>
      <c r="BH23" s="31"/>
      <c r="BI23" s="22"/>
      <c r="BJ23" s="216"/>
      <c r="BK23" s="19"/>
    </row>
    <row r="24">
      <c r="A24" s="461"/>
      <c r="B24" s="573"/>
      <c r="C24" s="495"/>
      <c r="D24" s="495"/>
      <c r="E24" s="495"/>
      <c r="F24" s="495"/>
      <c r="G24" s="495"/>
      <c r="H24" s="495"/>
      <c r="I24" s="495"/>
      <c r="J24" s="495"/>
      <c r="K24" s="495"/>
      <c r="L24" s="495"/>
      <c r="M24" s="495"/>
      <c r="N24" s="495"/>
      <c r="O24" s="495"/>
      <c r="P24" s="574"/>
      <c r="Q24" s="574"/>
      <c r="R24" s="574"/>
      <c r="S24" s="574"/>
      <c r="T24" s="574"/>
      <c r="U24" s="574"/>
      <c r="V24" s="495"/>
      <c r="W24" s="575"/>
      <c r="X24" s="573"/>
      <c r="Y24" s="495"/>
      <c r="Z24" s="495"/>
      <c r="AA24" s="495"/>
      <c r="AB24" s="495"/>
      <c r="AC24" s="495"/>
      <c r="AD24" s="495"/>
      <c r="AE24" s="495"/>
      <c r="AF24" s="495"/>
      <c r="AG24" s="495"/>
      <c r="AH24" s="495"/>
      <c r="AI24" s="495"/>
      <c r="AJ24" s="495"/>
      <c r="AK24" s="495"/>
      <c r="AL24" s="495"/>
      <c r="AM24" s="495"/>
      <c r="AN24" s="574"/>
      <c r="AO24" s="574"/>
      <c r="AP24" s="574"/>
      <c r="AQ24" s="574"/>
      <c r="AR24" s="574"/>
      <c r="AS24" s="574"/>
      <c r="AT24" s="574"/>
      <c r="AU24" s="574"/>
      <c r="AV24" s="574"/>
      <c r="AW24" s="574"/>
      <c r="AX24" s="574"/>
      <c r="AY24" s="574"/>
      <c r="AZ24" s="574"/>
      <c r="BA24" s="574"/>
      <c r="BB24" s="574"/>
      <c r="BC24" s="574"/>
      <c r="BD24" s="574"/>
      <c r="BE24" s="574"/>
      <c r="BF24" s="574"/>
      <c r="BG24" s="574"/>
      <c r="BH24" s="574"/>
      <c r="BI24" s="576" t="str">
        <f>IF(R[-20]C[130],CHOOSE(R[-3]C[-53],0,0,0,8,8,8,8,16,16,16,16,24,24,24,24,32,32,32,32,40) , IFS(R[-22]C[-14]="D-Rank",0,R[-22]C[-14]="C-Rank",6,R[-22]C[-14]="B-Rank",12,R[-22]C[-14]="A-Rank",18,R[-22]C[-14]="D-Rank",24))-R[-16]C[-42]-R[-13]C[-42]-R[-10]C[-42]-R[-7]C[-42]-R[-4]C[-42]-R[-1]C[-42]</f>
        <v>#ERROR!</v>
      </c>
      <c r="BJ24" s="577"/>
      <c r="BK24" s="19"/>
    </row>
    <row r="25">
      <c r="A25" s="461"/>
      <c r="B25" s="578"/>
      <c r="C25" s="579" t="s">
        <v>334</v>
      </c>
      <c r="D25" s="39"/>
      <c r="E25" s="39"/>
      <c r="F25" s="39"/>
      <c r="G25" s="39"/>
      <c r="H25" s="39"/>
      <c r="I25" s="39"/>
      <c r="J25" s="39"/>
      <c r="K25" s="39"/>
      <c r="L25" s="39"/>
      <c r="M25" s="39"/>
      <c r="N25" s="39"/>
      <c r="O25" s="39"/>
      <c r="P25" s="39"/>
      <c r="Q25" s="39"/>
      <c r="R25" s="39"/>
      <c r="S25" s="39"/>
      <c r="T25" s="39"/>
      <c r="U25" s="39"/>
      <c r="V25" s="40"/>
      <c r="W25" s="580"/>
      <c r="X25" s="470"/>
      <c r="Y25" s="471"/>
      <c r="Z25" s="581" t="s">
        <v>335</v>
      </c>
      <c r="AA25" s="39"/>
      <c r="AB25" s="39"/>
      <c r="AC25" s="39"/>
      <c r="AD25" s="39"/>
      <c r="AE25" s="39"/>
      <c r="AF25" s="39"/>
      <c r="AG25" s="39"/>
      <c r="AH25" s="39"/>
      <c r="AI25" s="39"/>
      <c r="AJ25" s="464"/>
      <c r="AK25" s="582"/>
      <c r="AL25" s="583"/>
      <c r="AM25" s="462"/>
      <c r="AN25" s="584" t="s">
        <v>336</v>
      </c>
      <c r="AO25" s="39"/>
      <c r="AP25" s="39"/>
      <c r="AQ25" s="39"/>
      <c r="AR25" s="39"/>
      <c r="AS25" s="39"/>
      <c r="AT25" s="39"/>
      <c r="AU25" s="39"/>
      <c r="AV25" s="39"/>
      <c r="AW25" s="39"/>
      <c r="AX25" s="39"/>
      <c r="AY25" s="39"/>
      <c r="AZ25" s="39"/>
      <c r="BA25" s="39"/>
      <c r="BB25" s="39"/>
      <c r="BC25" s="39"/>
      <c r="BD25" s="39"/>
      <c r="BE25" s="39"/>
      <c r="BF25" s="39"/>
      <c r="BG25" s="39"/>
      <c r="BH25" s="39"/>
      <c r="BI25" s="466"/>
      <c r="BJ25" s="582"/>
      <c r="BK25" s="19"/>
    </row>
    <row r="26">
      <c r="A26" s="461"/>
      <c r="B26" s="585"/>
      <c r="C26" s="586"/>
      <c r="D26" s="31"/>
      <c r="E26" s="31"/>
      <c r="F26" s="31"/>
      <c r="G26" s="31"/>
      <c r="H26" s="31"/>
      <c r="I26" s="31"/>
      <c r="J26" s="31"/>
      <c r="K26" s="31"/>
      <c r="L26" s="31"/>
      <c r="M26" s="31"/>
      <c r="N26" s="31"/>
      <c r="O26" s="31"/>
      <c r="P26" s="31"/>
      <c r="Q26" s="31"/>
      <c r="R26" s="31"/>
      <c r="S26" s="31"/>
      <c r="T26" s="31"/>
      <c r="U26" s="31"/>
      <c r="V26" s="587"/>
      <c r="W26" s="357"/>
      <c r="X26" s="470"/>
      <c r="Y26" s="484"/>
      <c r="Z26" s="31"/>
      <c r="AA26" s="31"/>
      <c r="AB26" s="31"/>
      <c r="AC26" s="31"/>
      <c r="AD26" s="31"/>
      <c r="AE26" s="31"/>
      <c r="AF26" s="31"/>
      <c r="AG26" s="31"/>
      <c r="AH26" s="31"/>
      <c r="AI26" s="31"/>
      <c r="AJ26" s="377"/>
      <c r="AK26" s="54"/>
      <c r="AL26" s="583"/>
      <c r="AM26" s="68"/>
      <c r="AN26" s="21"/>
      <c r="AO26" s="31"/>
      <c r="AP26" s="31"/>
      <c r="AQ26" s="31"/>
      <c r="AR26" s="31"/>
      <c r="AS26" s="31"/>
      <c r="AT26" s="31"/>
      <c r="AU26" s="31"/>
      <c r="AV26" s="31"/>
      <c r="AW26" s="31"/>
      <c r="AX26" s="31"/>
      <c r="AY26" s="31"/>
      <c r="AZ26" s="31"/>
      <c r="BA26" s="31"/>
      <c r="BB26" s="31"/>
      <c r="BC26" s="31"/>
      <c r="BD26" s="31"/>
      <c r="BE26" s="31"/>
      <c r="BF26" s="31"/>
      <c r="BG26" s="31"/>
      <c r="BH26" s="31"/>
      <c r="BI26" s="22"/>
      <c r="BJ26" s="54"/>
      <c r="BK26" s="19"/>
    </row>
    <row r="27">
      <c r="A27" s="461"/>
      <c r="B27" s="585"/>
      <c r="C27" s="588"/>
      <c r="D27" s="216"/>
      <c r="E27" s="216"/>
      <c r="F27" s="216"/>
      <c r="G27" s="216"/>
      <c r="H27" s="216"/>
      <c r="I27" s="485"/>
      <c r="J27" s="589"/>
      <c r="K27" s="218"/>
      <c r="L27" s="485"/>
      <c r="M27" s="590"/>
      <c r="N27" s="591"/>
      <c r="O27" s="11"/>
      <c r="P27" s="11"/>
      <c r="Q27" s="11"/>
      <c r="R27" s="11"/>
      <c r="S27" s="11"/>
      <c r="T27" s="11"/>
      <c r="U27" s="11"/>
      <c r="V27" s="52"/>
      <c r="W27" s="357"/>
      <c r="X27" s="470"/>
      <c r="Y27" s="484"/>
      <c r="Z27" s="592" t="s">
        <v>337</v>
      </c>
      <c r="AA27" s="507"/>
      <c r="AB27" s="507"/>
      <c r="AC27" s="507"/>
      <c r="AD27" s="507"/>
      <c r="AE27" s="507"/>
      <c r="AF27" s="507"/>
      <c r="AG27" s="507"/>
      <c r="AH27" s="507"/>
      <c r="AI27" s="507"/>
      <c r="AJ27" s="510"/>
      <c r="AK27" s="54"/>
      <c r="AL27" s="583"/>
      <c r="AM27" s="68"/>
      <c r="AN27" s="470"/>
      <c r="AO27" s="470"/>
      <c r="AP27" s="470"/>
      <c r="AQ27" s="578"/>
      <c r="AR27" s="593"/>
      <c r="AS27" s="40"/>
      <c r="AT27" s="594"/>
      <c r="AU27" s="595"/>
      <c r="AV27" s="501"/>
      <c r="AW27" s="578"/>
      <c r="AX27" s="593"/>
      <c r="AY27" s="40"/>
      <c r="AZ27" s="594"/>
      <c r="BA27" s="477"/>
      <c r="BB27" s="470"/>
      <c r="BC27" s="578"/>
      <c r="BD27" s="593"/>
      <c r="BE27" s="40"/>
      <c r="BF27" s="594"/>
      <c r="BG27" s="470"/>
      <c r="BH27" s="470"/>
      <c r="BI27" s="596"/>
      <c r="BJ27" s="54"/>
      <c r="BK27" s="19"/>
    </row>
    <row r="28">
      <c r="A28" s="461"/>
      <c r="B28" s="585"/>
      <c r="C28" s="597"/>
      <c r="D28" s="598"/>
      <c r="E28" s="504"/>
      <c r="F28" s="504"/>
      <c r="G28" s="504"/>
      <c r="H28" s="599"/>
      <c r="I28" s="600"/>
      <c r="J28" s="504"/>
      <c r="K28" s="504"/>
      <c r="L28" s="504"/>
      <c r="M28" s="504"/>
      <c r="N28" s="504"/>
      <c r="O28" s="504"/>
      <c r="P28" s="504"/>
      <c r="Q28" s="504"/>
      <c r="R28" s="504"/>
      <c r="S28" s="504"/>
      <c r="T28" s="504"/>
      <c r="U28" s="504"/>
      <c r="V28" s="601"/>
      <c r="W28" s="357"/>
      <c r="X28" s="470"/>
      <c r="Y28" s="484"/>
      <c r="Z28" s="602"/>
      <c r="AA28" s="504"/>
      <c r="AB28" s="504"/>
      <c r="AC28" s="504"/>
      <c r="AD28" s="504"/>
      <c r="AE28" s="504"/>
      <c r="AF28" s="504"/>
      <c r="AG28" s="504"/>
      <c r="AH28" s="504"/>
      <c r="AI28" s="504"/>
      <c r="AJ28" s="505"/>
      <c r="AK28" s="54"/>
      <c r="AL28" s="583"/>
      <c r="AM28" s="68"/>
      <c r="AN28" s="470"/>
      <c r="AO28" s="470"/>
      <c r="AP28" s="470"/>
      <c r="AQ28" s="487"/>
      <c r="AR28" s="532"/>
      <c r="AS28" s="85"/>
      <c r="AT28" s="485"/>
      <c r="AU28" s="603"/>
      <c r="AV28" s="604"/>
      <c r="AW28" s="487"/>
      <c r="AX28" s="532"/>
      <c r="AY28" s="85"/>
      <c r="AZ28" s="485"/>
      <c r="BA28" s="470"/>
      <c r="BB28" s="578"/>
      <c r="BC28" s="487"/>
      <c r="BD28" s="532"/>
      <c r="BE28" s="85"/>
      <c r="BF28" s="485"/>
      <c r="BG28" s="470"/>
      <c r="BH28" s="470"/>
      <c r="BI28" s="596"/>
      <c r="BJ28" s="54"/>
      <c r="BK28" s="19"/>
    </row>
    <row r="29">
      <c r="A29" s="461"/>
      <c r="B29" s="585"/>
      <c r="C29" s="605"/>
      <c r="D29" s="500"/>
      <c r="E29" s="31"/>
      <c r="F29" s="31"/>
      <c r="G29" s="31"/>
      <c r="H29" s="377"/>
      <c r="I29" s="31"/>
      <c r="J29" s="31"/>
      <c r="K29" s="31"/>
      <c r="L29" s="31"/>
      <c r="M29" s="31"/>
      <c r="N29" s="31"/>
      <c r="O29" s="31"/>
      <c r="P29" s="31"/>
      <c r="Q29" s="31"/>
      <c r="R29" s="31"/>
      <c r="S29" s="31"/>
      <c r="T29" s="31"/>
      <c r="U29" s="31"/>
      <c r="V29" s="587"/>
      <c r="W29" s="357"/>
      <c r="X29" s="470"/>
      <c r="Y29" s="484"/>
      <c r="Z29" s="21"/>
      <c r="AA29" s="31"/>
      <c r="AB29" s="31"/>
      <c r="AC29" s="31"/>
      <c r="AD29" s="31"/>
      <c r="AE29" s="31"/>
      <c r="AF29" s="31"/>
      <c r="AG29" s="31"/>
      <c r="AH29" s="31"/>
      <c r="AI29" s="31"/>
      <c r="AJ29" s="22"/>
      <c r="AK29" s="54"/>
      <c r="AL29" s="583"/>
      <c r="AM29" s="68"/>
      <c r="AN29" s="470"/>
      <c r="AO29" s="578"/>
      <c r="AP29" s="578"/>
      <c r="AQ29" s="606" t="s">
        <v>52</v>
      </c>
      <c r="AU29" s="603"/>
      <c r="AV29" s="604"/>
      <c r="AW29" s="606" t="s">
        <v>65</v>
      </c>
      <c r="BA29" s="578"/>
      <c r="BB29" s="578"/>
      <c r="BC29" s="606" t="s">
        <v>119</v>
      </c>
      <c r="BG29" s="578"/>
      <c r="BH29" s="578"/>
      <c r="BI29" s="596"/>
      <c r="BJ29" s="54"/>
      <c r="BK29" s="19"/>
    </row>
    <row r="30">
      <c r="A30" s="461"/>
      <c r="B30" s="585"/>
      <c r="C30" s="588"/>
      <c r="D30" s="216"/>
      <c r="E30" s="216"/>
      <c r="F30" s="216"/>
      <c r="G30" s="216"/>
      <c r="H30" s="216"/>
      <c r="I30" s="485"/>
      <c r="J30" s="589"/>
      <c r="K30" s="218"/>
      <c r="L30" s="485"/>
      <c r="M30" s="590"/>
      <c r="N30" s="607"/>
      <c r="V30" s="54"/>
      <c r="W30" s="357"/>
      <c r="X30" s="470"/>
      <c r="Y30" s="484"/>
      <c r="Z30" s="608" t="s">
        <v>338</v>
      </c>
      <c r="AA30" s="216"/>
      <c r="AB30" s="216"/>
      <c r="AC30" s="216"/>
      <c r="AD30" s="216"/>
      <c r="AE30" s="216"/>
      <c r="AF30" s="216"/>
      <c r="AG30" s="216"/>
      <c r="AH30" s="216"/>
      <c r="AI30" s="216"/>
      <c r="AJ30" s="609"/>
      <c r="AK30" s="54"/>
      <c r="AL30" s="583"/>
      <c r="AM30" s="68"/>
      <c r="AN30" s="498"/>
      <c r="AO30" s="610"/>
      <c r="AP30" s="611"/>
      <c r="AQ30" s="580"/>
      <c r="AR30" s="573"/>
      <c r="AS30" s="530"/>
      <c r="AT30" s="498"/>
      <c r="AU30" s="610"/>
      <c r="AV30" s="611"/>
      <c r="AW30" s="580"/>
      <c r="AX30" s="573"/>
      <c r="AY30" s="496"/>
      <c r="AZ30" s="498"/>
      <c r="BA30" s="610"/>
      <c r="BB30" s="611"/>
      <c r="BC30" s="580"/>
      <c r="BD30" s="573"/>
      <c r="BE30" s="530"/>
      <c r="BF30" s="498"/>
      <c r="BG30" s="610"/>
      <c r="BH30" s="611"/>
      <c r="BI30" s="580"/>
      <c r="BJ30" s="54"/>
      <c r="BK30" s="19"/>
    </row>
    <row r="31">
      <c r="A31" s="461"/>
      <c r="B31" s="585"/>
      <c r="C31" s="597" t="b">
        <v>0</v>
      </c>
      <c r="D31" s="598"/>
      <c r="E31" s="504"/>
      <c r="F31" s="504"/>
      <c r="G31" s="504"/>
      <c r="H31" s="599"/>
      <c r="I31" s="600"/>
      <c r="J31" s="504"/>
      <c r="K31" s="504"/>
      <c r="L31" s="504"/>
      <c r="M31" s="504"/>
      <c r="N31" s="504"/>
      <c r="O31" s="504"/>
      <c r="P31" s="504"/>
      <c r="Q31" s="504"/>
      <c r="R31" s="504"/>
      <c r="S31" s="504"/>
      <c r="T31" s="504"/>
      <c r="U31" s="504"/>
      <c r="V31" s="601"/>
      <c r="W31" s="357"/>
      <c r="X31" s="470"/>
      <c r="Y31" s="484"/>
      <c r="Z31" s="612"/>
      <c r="AJ31" s="19"/>
      <c r="AK31" s="54"/>
      <c r="AL31" s="583"/>
      <c r="AM31" s="68"/>
      <c r="AN31" s="585"/>
      <c r="AO31" s="613"/>
      <c r="AP31" s="614"/>
      <c r="AQ31" s="485"/>
      <c r="AR31" s="596"/>
      <c r="AS31" s="470"/>
      <c r="AT31" s="585"/>
      <c r="AU31" s="613"/>
      <c r="AV31" s="614"/>
      <c r="AW31" s="485"/>
      <c r="AX31" s="596"/>
      <c r="AY31" s="501"/>
      <c r="AZ31" s="585"/>
      <c r="BA31" s="613"/>
      <c r="BB31" s="614"/>
      <c r="BC31" s="485"/>
      <c r="BD31" s="596"/>
      <c r="BE31" s="470"/>
      <c r="BF31" s="585"/>
      <c r="BG31" s="613"/>
      <c r="BH31" s="614"/>
      <c r="BI31" s="485"/>
      <c r="BJ31" s="54"/>
      <c r="BK31" s="19"/>
    </row>
    <row r="32">
      <c r="A32" s="461"/>
      <c r="B32" s="487"/>
      <c r="C32" s="511"/>
      <c r="D32" s="533"/>
      <c r="E32" s="84"/>
      <c r="F32" s="84"/>
      <c r="G32" s="84"/>
      <c r="H32" s="534"/>
      <c r="I32" s="84"/>
      <c r="J32" s="84"/>
      <c r="K32" s="84"/>
      <c r="L32" s="84"/>
      <c r="M32" s="84"/>
      <c r="N32" s="84"/>
      <c r="O32" s="84"/>
      <c r="P32" s="84"/>
      <c r="Q32" s="84"/>
      <c r="R32" s="84"/>
      <c r="S32" s="84"/>
      <c r="T32" s="84"/>
      <c r="U32" s="84"/>
      <c r="V32" s="85"/>
      <c r="W32" s="485"/>
      <c r="X32" s="470"/>
      <c r="Y32" s="511"/>
      <c r="Z32" s="615"/>
      <c r="AA32" s="84"/>
      <c r="AB32" s="84"/>
      <c r="AC32" s="84"/>
      <c r="AD32" s="84"/>
      <c r="AE32" s="84"/>
      <c r="AF32" s="84"/>
      <c r="AG32" s="84"/>
      <c r="AH32" s="84"/>
      <c r="AI32" s="84"/>
      <c r="AJ32" s="616"/>
      <c r="AK32" s="85"/>
      <c r="AL32" s="583"/>
      <c r="AM32" s="532"/>
      <c r="AN32" s="617" t="s">
        <v>66</v>
      </c>
      <c r="AO32" s="618"/>
      <c r="AP32" s="618"/>
      <c r="AQ32" s="618"/>
      <c r="AR32" s="619">
        <v>0.0</v>
      </c>
      <c r="AS32" s="620"/>
      <c r="AT32" s="617" t="s">
        <v>66</v>
      </c>
      <c r="AU32" s="618"/>
      <c r="AV32" s="618"/>
      <c r="AW32" s="618"/>
      <c r="AX32" s="619">
        <v>0.0</v>
      </c>
      <c r="AY32" s="619">
        <v>0.0</v>
      </c>
      <c r="AZ32" s="617" t="s">
        <v>66</v>
      </c>
      <c r="BA32" s="618"/>
      <c r="BB32" s="618"/>
      <c r="BC32" s="618"/>
      <c r="BD32" s="621"/>
      <c r="BE32" s="619">
        <v>0.0</v>
      </c>
      <c r="BF32" s="617" t="s">
        <v>339</v>
      </c>
      <c r="BG32" s="618"/>
      <c r="BH32" s="618"/>
      <c r="BI32" s="622"/>
      <c r="BJ32" s="85"/>
      <c r="BK32" s="19"/>
    </row>
    <row r="33">
      <c r="A33" s="461"/>
      <c r="B33" s="578"/>
      <c r="C33" s="504"/>
      <c r="D33" s="504"/>
      <c r="E33" s="504"/>
      <c r="F33" s="504"/>
      <c r="G33" s="504"/>
      <c r="H33" s="504"/>
      <c r="I33" s="504"/>
      <c r="J33" s="504"/>
      <c r="K33" s="504"/>
      <c r="L33" s="504"/>
      <c r="M33" s="504"/>
      <c r="N33" s="504"/>
      <c r="O33" s="504"/>
      <c r="P33" s="504"/>
      <c r="Q33" s="504"/>
      <c r="R33" s="504"/>
      <c r="S33" s="504"/>
      <c r="T33" s="504"/>
      <c r="U33" s="504"/>
      <c r="V33" s="504"/>
      <c r="W33" s="504"/>
      <c r="X33" s="504"/>
      <c r="Y33" s="504"/>
      <c r="Z33" s="504"/>
      <c r="AA33" s="504"/>
      <c r="AB33" s="504"/>
      <c r="AC33" s="504"/>
      <c r="AD33" s="504"/>
      <c r="AE33" s="504"/>
      <c r="AF33" s="504"/>
      <c r="AG33" s="504"/>
      <c r="AH33" s="504"/>
      <c r="AI33" s="504"/>
      <c r="AJ33" s="504"/>
      <c r="AK33" s="504"/>
      <c r="AL33" s="504"/>
      <c r="AM33" s="504"/>
      <c r="AN33" s="504"/>
      <c r="AO33" s="504"/>
      <c r="AP33" s="504"/>
      <c r="AQ33" s="504"/>
      <c r="AR33" s="504"/>
      <c r="AS33" s="504"/>
      <c r="AT33" s="504"/>
      <c r="AU33" s="504"/>
      <c r="AV33" s="504"/>
      <c r="AW33" s="504"/>
      <c r="AX33" s="504"/>
      <c r="AY33" s="504"/>
      <c r="AZ33" s="504"/>
      <c r="BA33" s="504"/>
      <c r="BB33" s="504"/>
      <c r="BC33" s="504"/>
      <c r="BD33" s="504"/>
      <c r="BE33" s="504"/>
      <c r="BF33" s="504"/>
      <c r="BG33" s="504"/>
      <c r="BH33" s="504"/>
      <c r="BI33" s="504"/>
      <c r="BJ33" s="599"/>
      <c r="BK33" s="19"/>
    </row>
    <row r="34">
      <c r="A34" s="623"/>
      <c r="B34" s="624"/>
      <c r="C34" s="504"/>
      <c r="D34" s="504"/>
      <c r="E34" s="504"/>
      <c r="F34" s="504"/>
      <c r="G34" s="504"/>
      <c r="H34" s="504"/>
      <c r="I34" s="504"/>
      <c r="J34" s="504"/>
      <c r="K34" s="504"/>
      <c r="L34" s="504"/>
      <c r="M34" s="504"/>
      <c r="N34" s="504"/>
      <c r="O34" s="504"/>
      <c r="P34" s="504"/>
      <c r="Q34" s="504"/>
      <c r="R34" s="504"/>
      <c r="S34" s="504"/>
      <c r="T34" s="504"/>
      <c r="U34" s="504"/>
      <c r="V34" s="504"/>
      <c r="W34" s="504"/>
      <c r="X34" s="504"/>
      <c r="Y34" s="504"/>
      <c r="Z34" s="504"/>
      <c r="AA34" s="504"/>
      <c r="AB34" s="504"/>
      <c r="AC34" s="504"/>
      <c r="AD34" s="504"/>
      <c r="AE34" s="504"/>
      <c r="AF34" s="504"/>
      <c r="AG34" s="504"/>
      <c r="AH34" s="504"/>
      <c r="AI34" s="504"/>
      <c r="AJ34" s="504"/>
      <c r="AK34" s="504"/>
      <c r="AL34" s="504"/>
      <c r="AM34" s="504"/>
      <c r="AN34" s="504"/>
      <c r="AO34" s="504"/>
      <c r="AP34" s="504"/>
      <c r="AQ34" s="504"/>
      <c r="AR34" s="504"/>
      <c r="AS34" s="504"/>
      <c r="AT34" s="504"/>
      <c r="AU34" s="504"/>
      <c r="AV34" s="504"/>
      <c r="AW34" s="504"/>
      <c r="AX34" s="504"/>
      <c r="AY34" s="504"/>
      <c r="AZ34" s="504"/>
      <c r="BA34" s="504"/>
      <c r="BB34" s="504"/>
      <c r="BC34" s="504"/>
      <c r="BD34" s="504"/>
      <c r="BE34" s="504"/>
      <c r="BF34" s="504"/>
      <c r="BG34" s="504"/>
      <c r="BH34" s="504"/>
      <c r="BI34" s="504"/>
      <c r="BJ34" s="504"/>
      <c r="BK34" s="609"/>
    </row>
    <row r="35">
      <c r="A35" s="625"/>
      <c r="B35" s="625"/>
      <c r="C35" s="625"/>
      <c r="D35" s="625"/>
      <c r="E35" s="625"/>
      <c r="F35" s="625"/>
      <c r="G35" s="625"/>
      <c r="H35" s="625"/>
      <c r="I35" s="625"/>
      <c r="J35" s="625"/>
      <c r="K35" s="625"/>
      <c r="L35" s="625"/>
      <c r="M35" s="625"/>
      <c r="N35" s="625"/>
      <c r="O35" s="625"/>
      <c r="P35" s="625"/>
      <c r="Q35" s="625"/>
      <c r="R35" s="625"/>
      <c r="S35" s="625"/>
      <c r="T35" s="625"/>
      <c r="U35" s="625"/>
      <c r="V35" s="625"/>
      <c r="W35" s="625"/>
      <c r="X35" s="625"/>
      <c r="Y35" s="625"/>
      <c r="Z35" s="625"/>
      <c r="AA35" s="625"/>
      <c r="AB35" s="625"/>
      <c r="AC35" s="625"/>
      <c r="AD35" s="625"/>
      <c r="AE35" s="625"/>
      <c r="AF35" s="625"/>
      <c r="AG35" s="625"/>
      <c r="AH35" s="625"/>
      <c r="AI35" s="625"/>
      <c r="AJ35" s="625"/>
      <c r="AK35" s="625"/>
      <c r="AL35" s="625"/>
      <c r="AM35" s="625"/>
      <c r="AN35" s="625"/>
      <c r="AO35" s="625"/>
      <c r="AP35" s="625"/>
      <c r="AQ35" s="625"/>
      <c r="AR35" s="625"/>
      <c r="AS35" s="625"/>
      <c r="AT35" s="625"/>
      <c r="AU35" s="625"/>
      <c r="AV35" s="625"/>
      <c r="AW35" s="625"/>
      <c r="AX35" s="625"/>
      <c r="AY35" s="625"/>
      <c r="AZ35" s="625"/>
      <c r="BA35" s="625"/>
      <c r="BB35" s="625"/>
      <c r="BC35" s="625"/>
      <c r="BD35" s="625"/>
      <c r="BE35" s="625"/>
      <c r="BF35" s="625"/>
      <c r="BG35" s="625"/>
      <c r="BH35" s="625"/>
      <c r="BI35" s="625"/>
      <c r="BJ35" s="625"/>
      <c r="BK35" s="625"/>
    </row>
  </sheetData>
  <mergeCells count="184">
    <mergeCell ref="AW27:AW28"/>
    <mergeCell ref="AX27:AY28"/>
    <mergeCell ref="AZ27:AZ28"/>
    <mergeCell ref="BC27:BC28"/>
    <mergeCell ref="BD27:BE28"/>
    <mergeCell ref="BF27:BF28"/>
    <mergeCell ref="C28:C29"/>
    <mergeCell ref="D28:H29"/>
    <mergeCell ref="I28:V29"/>
    <mergeCell ref="Z28:AJ29"/>
    <mergeCell ref="AQ29:AT29"/>
    <mergeCell ref="AW29:AZ29"/>
    <mergeCell ref="BC29:BF29"/>
    <mergeCell ref="C30:I30"/>
    <mergeCell ref="C31:C32"/>
    <mergeCell ref="D31:H32"/>
    <mergeCell ref="C25:V26"/>
    <mergeCell ref="W25:W32"/>
    <mergeCell ref="C27:I27"/>
    <mergeCell ref="K27:L27"/>
    <mergeCell ref="N27:V27"/>
    <mergeCell ref="K30:L30"/>
    <mergeCell ref="N30:V30"/>
    <mergeCell ref="I31:V32"/>
    <mergeCell ref="B2:B23"/>
    <mergeCell ref="B25:B32"/>
    <mergeCell ref="AB20:AG20"/>
    <mergeCell ref="Z25:AJ26"/>
    <mergeCell ref="AK25:AK32"/>
    <mergeCell ref="AM25:AM32"/>
    <mergeCell ref="AN30:AN31"/>
    <mergeCell ref="AO30:AP31"/>
    <mergeCell ref="AQ30:AQ31"/>
    <mergeCell ref="AN32:AQ32"/>
    <mergeCell ref="BJ2:BJ23"/>
    <mergeCell ref="BJ25:BJ32"/>
    <mergeCell ref="Z27:AJ27"/>
    <mergeCell ref="AQ27:AQ28"/>
    <mergeCell ref="Z30:AJ30"/>
    <mergeCell ref="Z31:AJ32"/>
    <mergeCell ref="BC30:BC31"/>
    <mergeCell ref="BF30:BF31"/>
    <mergeCell ref="BG30:BH31"/>
    <mergeCell ref="BI30:BI31"/>
    <mergeCell ref="AT32:AW32"/>
    <mergeCell ref="AZ32:BC32"/>
    <mergeCell ref="BF32:BI32"/>
    <mergeCell ref="AR27:AS28"/>
    <mergeCell ref="AT27:AT28"/>
    <mergeCell ref="AT30:AT31"/>
    <mergeCell ref="AU30:AV31"/>
    <mergeCell ref="AW30:AW31"/>
    <mergeCell ref="AZ30:AZ31"/>
    <mergeCell ref="BA30:BB31"/>
    <mergeCell ref="P3:T3"/>
    <mergeCell ref="Y3:AA3"/>
    <mergeCell ref="AD3:AF3"/>
    <mergeCell ref="AK3:AO5"/>
    <mergeCell ref="AP3:BI5"/>
    <mergeCell ref="P4:T5"/>
    <mergeCell ref="X4:AG4"/>
    <mergeCell ref="X5:X6"/>
    <mergeCell ref="Y5:Z6"/>
    <mergeCell ref="AA5:AA6"/>
    <mergeCell ref="AD5:AD6"/>
    <mergeCell ref="AE5:AF6"/>
    <mergeCell ref="AG5:AG6"/>
    <mergeCell ref="P6:T6"/>
    <mergeCell ref="AK6:AO6"/>
    <mergeCell ref="AC2:AC3"/>
    <mergeCell ref="AD2:AF2"/>
    <mergeCell ref="X2:X3"/>
    <mergeCell ref="AB2:AB3"/>
    <mergeCell ref="P7:R7"/>
    <mergeCell ref="S7:T7"/>
    <mergeCell ref="X7:AA7"/>
    <mergeCell ref="Q8:R8"/>
    <mergeCell ref="S8:T8"/>
    <mergeCell ref="X10:X11"/>
    <mergeCell ref="Y10:Z11"/>
    <mergeCell ref="X21:Z21"/>
    <mergeCell ref="X22:Z22"/>
    <mergeCell ref="X23:AB23"/>
    <mergeCell ref="AA10:AA11"/>
    <mergeCell ref="AD10:AD11"/>
    <mergeCell ref="AE10:AF11"/>
    <mergeCell ref="AG10:AG11"/>
    <mergeCell ref="AB21:AG21"/>
    <mergeCell ref="AK21:AO21"/>
    <mergeCell ref="AB22:AG22"/>
    <mergeCell ref="AK22:AO23"/>
    <mergeCell ref="AC23:AG23"/>
    <mergeCell ref="AK10:AO11"/>
    <mergeCell ref="Q11:R11"/>
    <mergeCell ref="S11:T11"/>
    <mergeCell ref="P12:T12"/>
    <mergeCell ref="X12:AA12"/>
    <mergeCell ref="AD12:AG12"/>
    <mergeCell ref="AK12:AO12"/>
    <mergeCell ref="O2:O23"/>
    <mergeCell ref="P13:R13"/>
    <mergeCell ref="P21:T21"/>
    <mergeCell ref="P22:R22"/>
    <mergeCell ref="S22:T22"/>
    <mergeCell ref="Q23:R23"/>
    <mergeCell ref="S23:T23"/>
    <mergeCell ref="X15:Z15"/>
    <mergeCell ref="X16:Z16"/>
    <mergeCell ref="S14:T14"/>
    <mergeCell ref="P15:T15"/>
    <mergeCell ref="AB15:AG15"/>
    <mergeCell ref="AK15:AO15"/>
    <mergeCell ref="AP15:BI17"/>
    <mergeCell ref="P16:R16"/>
    <mergeCell ref="S16:T16"/>
    <mergeCell ref="F2:L2"/>
    <mergeCell ref="P2:T2"/>
    <mergeCell ref="U2:U23"/>
    <mergeCell ref="W2:W7"/>
    <mergeCell ref="W8:W23"/>
    <mergeCell ref="I21:L21"/>
    <mergeCell ref="C22:G22"/>
    <mergeCell ref="H22:L22"/>
    <mergeCell ref="C23:E23"/>
    <mergeCell ref="F23:L23"/>
    <mergeCell ref="AG2:AG3"/>
    <mergeCell ref="AH2:AH7"/>
    <mergeCell ref="AD7:AG7"/>
    <mergeCell ref="AH8:AH23"/>
    <mergeCell ref="C2:E2"/>
    <mergeCell ref="AK2:AM2"/>
    <mergeCell ref="AN2:AT2"/>
    <mergeCell ref="AU2:BI2"/>
    <mergeCell ref="AP6:BI8"/>
    <mergeCell ref="AK7:AO8"/>
    <mergeCell ref="AP9:BI11"/>
    <mergeCell ref="AP21:BI23"/>
    <mergeCell ref="P9:T9"/>
    <mergeCell ref="X9:AG9"/>
    <mergeCell ref="AK9:AO9"/>
    <mergeCell ref="P10:R10"/>
    <mergeCell ref="S10:T10"/>
    <mergeCell ref="S13:T13"/>
    <mergeCell ref="X13:AG13"/>
    <mergeCell ref="AK13:AO14"/>
    <mergeCell ref="Q14:R14"/>
    <mergeCell ref="X14:AG14"/>
    <mergeCell ref="AB16:AG16"/>
    <mergeCell ref="AK16:AO17"/>
    <mergeCell ref="AB17:AG17"/>
    <mergeCell ref="Q17:R17"/>
    <mergeCell ref="S17:T17"/>
    <mergeCell ref="X17:Z17"/>
    <mergeCell ref="P18:T18"/>
    <mergeCell ref="X18:Z18"/>
    <mergeCell ref="AB18:AG18"/>
    <mergeCell ref="AK18:AO18"/>
    <mergeCell ref="X19:Z19"/>
    <mergeCell ref="X20:Z20"/>
    <mergeCell ref="AP18:BI20"/>
    <mergeCell ref="P19:R19"/>
    <mergeCell ref="S19:T19"/>
    <mergeCell ref="AB19:AG19"/>
    <mergeCell ref="AK19:AO20"/>
    <mergeCell ref="Q20:R20"/>
    <mergeCell ref="S20:T20"/>
    <mergeCell ref="C20:G20"/>
    <mergeCell ref="C21:G21"/>
    <mergeCell ref="M2:M23"/>
    <mergeCell ref="C3:L17"/>
    <mergeCell ref="C18:G18"/>
    <mergeCell ref="H18:L18"/>
    <mergeCell ref="C19:G19"/>
    <mergeCell ref="H19:L19"/>
    <mergeCell ref="H20:L20"/>
    <mergeCell ref="B33:BJ33"/>
    <mergeCell ref="B34:BJ34"/>
    <mergeCell ref="A1:A34"/>
    <mergeCell ref="B1:BJ1"/>
    <mergeCell ref="BK1:BK34"/>
    <mergeCell ref="AJ2:AJ23"/>
    <mergeCell ref="AP12:BI14"/>
    <mergeCell ref="Y25:Y32"/>
    <mergeCell ref="AN25:BI26"/>
  </mergeCells>
  <dataValidations>
    <dataValidation type="list" allowBlank="1" showErrorMessage="1" sqref="H20">
      <formula1>"Atacante,Conjurador,Controlador,Defensor,Espreitador,Suporte,Nenhum"</formula1>
    </dataValidation>
    <dataValidation type="list" allowBlank="1" showDropDown="1" showErrorMessage="1" sqref="B35">
      <formula1>"Str,Dex,Con,Int,Wis,Cha"</formula1>
    </dataValidation>
    <dataValidation type="list" allowBlank="1" showErrorMessage="1" sqref="AK16">
      <formula1>#REF!</formula1>
    </dataValidation>
    <dataValidation type="list" allowBlank="1" showErrorMessage="1" sqref="AQ29 AW29 BC29">
      <formula1>"FOR,DES,CON,INT,SAB,CAR"</formula1>
    </dataValidation>
    <dataValidation type="list" allowBlank="1" showErrorMessage="1" sqref="AK10">
      <formula1>#REF!</formula1>
    </dataValidation>
    <dataValidation type="list" allowBlank="1" showErrorMessage="1" sqref="AK19">
      <formula1>#REF!</formula1>
    </dataValidation>
    <dataValidation type="list" allowBlank="1" showErrorMessage="1" sqref="AK13">
      <formula1>#REF!</formula1>
    </dataValidation>
    <dataValidation type="list" allowBlank="1" showErrorMessage="1" sqref="AN32 AT32 AZ32 BF32">
      <formula1>#REF!</formula1>
    </dataValidation>
    <dataValidation type="list" allowBlank="1" showErrorMessage="1" sqref="AK7">
      <formula1>#REF!</formula1>
    </dataValidation>
    <dataValidation type="list" allowBlank="1" showDropDown="1" showErrorMessage="1" sqref="AA15:AA22">
      <formula1>"🔥,💨,💦,⚡,⛰️,☯"</formula1>
    </dataValidation>
    <dataValidation type="list" allowBlank="1" showErrorMessage="1" sqref="H18">
      <formula1>'Banco de Dados'!$B$128:$F$151</formula1>
    </dataValidation>
    <dataValidation type="list" allowBlank="1" showErrorMessage="1" sqref="AB15:AB22">
      <formula1>#REF!</formula1>
    </dataValidation>
    <dataValidation type="list" allowBlank="1" showErrorMessage="1" sqref="H19">
      <formula1>"Minusculo,Pequeno,Medio,Grande,Enorme,Gigante"</formula1>
    </dataValidation>
    <dataValidation type="list" allowBlank="1" showErrorMessage="1" sqref="AU2">
      <formula1>"D-Rank,C-Rank,B-Rank,A-Rank,S-Rank"</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77" width="4.5"/>
  </cols>
  <sheetData>
    <row r="1">
      <c r="A1" s="626" t="s">
        <v>340</v>
      </c>
      <c r="B1" s="7"/>
      <c r="C1" s="7"/>
      <c r="D1" s="7"/>
      <c r="E1" s="7"/>
      <c r="F1" s="5"/>
      <c r="G1" s="626" t="s">
        <v>341</v>
      </c>
      <c r="H1" s="7"/>
      <c r="I1" s="7"/>
      <c r="J1" s="7"/>
      <c r="K1" s="7"/>
      <c r="L1" s="5"/>
      <c r="M1" s="626" t="s">
        <v>342</v>
      </c>
      <c r="N1" s="7"/>
      <c r="O1" s="7"/>
      <c r="P1" s="5"/>
      <c r="Q1" s="626" t="s">
        <v>342</v>
      </c>
      <c r="R1" s="7"/>
      <c r="S1" s="7"/>
      <c r="T1" s="5"/>
      <c r="U1" s="626" t="s">
        <v>343</v>
      </c>
      <c r="V1" s="7"/>
      <c r="W1" s="7"/>
      <c r="X1" s="5"/>
      <c r="Y1" s="626" t="s">
        <v>344</v>
      </c>
      <c r="Z1" s="7"/>
      <c r="AA1" s="7"/>
      <c r="AB1" s="5"/>
      <c r="AC1" s="626" t="s">
        <v>345</v>
      </c>
      <c r="AD1" s="7"/>
      <c r="AE1" s="7"/>
      <c r="AF1" s="5"/>
      <c r="AG1" s="627" t="s">
        <v>196</v>
      </c>
      <c r="AH1" s="628"/>
      <c r="AI1" s="350"/>
      <c r="AJ1" s="350"/>
      <c r="AK1" s="629"/>
      <c r="AL1" s="629"/>
      <c r="AM1" s="629"/>
      <c r="AN1" s="629"/>
      <c r="AO1" s="629"/>
      <c r="AP1" s="629"/>
      <c r="AQ1" s="629"/>
      <c r="AR1" s="629"/>
      <c r="AS1" s="629"/>
      <c r="AT1" s="629"/>
      <c r="AU1" s="629"/>
      <c r="AV1" s="629"/>
      <c r="AW1" s="629"/>
      <c r="AX1" s="629"/>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row>
    <row r="2">
      <c r="A2" s="630" t="s">
        <v>346</v>
      </c>
      <c r="B2" s="7"/>
      <c r="C2" s="7"/>
      <c r="D2" s="7"/>
      <c r="E2" s="7"/>
      <c r="F2" s="5"/>
      <c r="G2" s="630" t="s">
        <v>347</v>
      </c>
      <c r="H2" s="7"/>
      <c r="I2" s="7"/>
      <c r="J2" s="7"/>
      <c r="K2" s="7"/>
      <c r="L2" s="5"/>
      <c r="M2" s="631" t="s">
        <v>52</v>
      </c>
      <c r="N2" s="7"/>
      <c r="O2" s="7"/>
      <c r="P2" s="5"/>
      <c r="Q2" s="632" t="s">
        <v>155</v>
      </c>
      <c r="R2" s="7"/>
      <c r="S2" s="7"/>
      <c r="T2" s="5"/>
      <c r="U2" s="633"/>
      <c r="V2" s="7"/>
      <c r="W2" s="7"/>
      <c r="X2" s="5"/>
      <c r="Y2" s="634">
        <v>0.0</v>
      </c>
      <c r="Z2" s="7"/>
      <c r="AA2" s="7"/>
      <c r="AB2" s="5"/>
      <c r="AC2" s="634">
        <v>0.0</v>
      </c>
      <c r="AD2" s="635"/>
      <c r="AE2" s="635"/>
      <c r="AF2" s="636"/>
      <c r="AG2" s="637">
        <v>0.0</v>
      </c>
      <c r="AH2" s="350"/>
      <c r="AI2" s="350"/>
      <c r="AJ2" s="350"/>
      <c r="AK2" s="629"/>
      <c r="AL2" s="629"/>
      <c r="AM2" s="629"/>
      <c r="AN2" s="629"/>
      <c r="AO2" s="629"/>
      <c r="AP2" s="629"/>
      <c r="AQ2" s="629"/>
      <c r="AR2" s="629"/>
      <c r="AS2" s="629"/>
      <c r="AT2" s="629"/>
      <c r="AU2" s="629"/>
      <c r="AV2" s="629"/>
      <c r="AW2" s="629"/>
      <c r="AX2" s="629"/>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row>
    <row r="3">
      <c r="A3" s="630" t="s">
        <v>348</v>
      </c>
      <c r="B3" s="7"/>
      <c r="C3" s="7"/>
      <c r="D3" s="7"/>
      <c r="E3" s="7"/>
      <c r="F3" s="5"/>
      <c r="G3" s="630" t="s">
        <v>347</v>
      </c>
      <c r="H3" s="7"/>
      <c r="I3" s="7"/>
      <c r="J3" s="7"/>
      <c r="K3" s="7"/>
      <c r="L3" s="5"/>
      <c r="M3" s="631" t="s">
        <v>52</v>
      </c>
      <c r="N3" s="7"/>
      <c r="O3" s="7"/>
      <c r="P3" s="5"/>
      <c r="Q3" s="632" t="s">
        <v>155</v>
      </c>
      <c r="R3" s="7"/>
      <c r="S3" s="7"/>
      <c r="T3" s="5"/>
      <c r="U3" s="638">
        <v>7.0</v>
      </c>
      <c r="V3" s="7"/>
      <c r="W3" s="7"/>
      <c r="X3" s="5"/>
      <c r="Y3" s="639">
        <v>1.0</v>
      </c>
      <c r="Z3" s="7"/>
      <c r="AA3" s="7"/>
      <c r="AB3" s="5"/>
      <c r="AC3" s="634">
        <f>+1</f>
        <v>1</v>
      </c>
      <c r="AD3" s="640"/>
      <c r="AE3" s="640"/>
      <c r="AF3" s="641"/>
      <c r="AG3" s="637">
        <v>1.0</v>
      </c>
      <c r="AH3" s="350"/>
      <c r="AI3" s="350"/>
      <c r="AJ3" s="350"/>
      <c r="AK3" s="629"/>
      <c r="AL3" s="629"/>
      <c r="AM3" s="629"/>
      <c r="AN3" s="629"/>
      <c r="AO3" s="629"/>
      <c r="AP3" s="629"/>
      <c r="AQ3" s="629"/>
      <c r="AR3" s="629"/>
      <c r="AS3" s="629"/>
      <c r="AT3" s="629"/>
      <c r="AU3" s="629"/>
      <c r="AV3" s="629"/>
      <c r="AW3" s="629"/>
      <c r="AX3" s="629"/>
      <c r="AY3" s="350"/>
      <c r="AZ3" s="350"/>
      <c r="BA3" s="350"/>
      <c r="BB3" s="350"/>
      <c r="BC3" s="350"/>
      <c r="BD3" s="350"/>
      <c r="BE3" s="350"/>
      <c r="BF3" s="350"/>
      <c r="BG3" s="350"/>
      <c r="BH3" s="350"/>
      <c r="BI3" s="350"/>
      <c r="BJ3" s="350"/>
      <c r="BK3" s="350"/>
      <c r="BL3" s="350"/>
      <c r="BM3" s="350"/>
      <c r="BN3" s="350"/>
      <c r="BO3" s="350"/>
      <c r="BP3" s="350"/>
      <c r="BQ3" s="350"/>
      <c r="BR3" s="350"/>
      <c r="BS3" s="350"/>
      <c r="BT3" s="350"/>
      <c r="BU3" s="350"/>
      <c r="BV3" s="350"/>
      <c r="BW3" s="350"/>
      <c r="BX3" s="350"/>
      <c r="BY3" s="350"/>
    </row>
    <row r="4">
      <c r="A4" s="630" t="s">
        <v>349</v>
      </c>
      <c r="B4" s="7"/>
      <c r="C4" s="7"/>
      <c r="D4" s="7"/>
      <c r="E4" s="7"/>
      <c r="F4" s="5"/>
      <c r="G4" s="630" t="s">
        <v>347</v>
      </c>
      <c r="H4" s="7"/>
      <c r="I4" s="7"/>
      <c r="J4" s="7"/>
      <c r="K4" s="7"/>
      <c r="L4" s="5"/>
      <c r="M4" s="631" t="s">
        <v>52</v>
      </c>
      <c r="N4" s="7"/>
      <c r="O4" s="7"/>
      <c r="P4" s="5"/>
      <c r="Q4" s="632" t="s">
        <v>155</v>
      </c>
      <c r="R4" s="7"/>
      <c r="S4" s="7"/>
      <c r="T4" s="5"/>
      <c r="U4" s="638">
        <v>7.0</v>
      </c>
      <c r="V4" s="7"/>
      <c r="W4" s="7"/>
      <c r="X4" s="5"/>
      <c r="Y4" s="639">
        <v>2.0</v>
      </c>
      <c r="Z4" s="7"/>
      <c r="AA4" s="7"/>
      <c r="AB4" s="5"/>
      <c r="AC4" s="634">
        <f>+2</f>
        <v>2</v>
      </c>
      <c r="AD4" s="640"/>
      <c r="AE4" s="640"/>
      <c r="AF4" s="641"/>
      <c r="AG4" s="637">
        <v>1.0</v>
      </c>
      <c r="AH4" s="350"/>
      <c r="AI4" s="350"/>
      <c r="AJ4" s="350"/>
      <c r="AK4" s="629"/>
      <c r="AL4" s="629"/>
      <c r="AM4" s="629"/>
      <c r="AN4" s="629"/>
      <c r="AO4" s="629"/>
      <c r="AP4" s="629"/>
      <c r="AQ4" s="629"/>
      <c r="AR4" s="629"/>
      <c r="AS4" s="629"/>
      <c r="AT4" s="629"/>
      <c r="AU4" s="629"/>
      <c r="AV4" s="629"/>
      <c r="AW4" s="629"/>
      <c r="AX4" s="629"/>
      <c r="AY4" s="350"/>
      <c r="AZ4" s="165"/>
      <c r="BA4" s="350"/>
      <c r="BB4" s="350"/>
      <c r="BC4" s="350"/>
      <c r="BD4" s="350"/>
      <c r="BE4" s="350"/>
      <c r="BF4" s="350"/>
      <c r="BG4" s="350"/>
      <c r="BH4" s="350"/>
      <c r="BI4" s="350"/>
      <c r="BJ4" s="350"/>
      <c r="BK4" s="350"/>
      <c r="BL4" s="350"/>
      <c r="BM4" s="350"/>
      <c r="BN4" s="350"/>
      <c r="BO4" s="350"/>
      <c r="BP4" s="350"/>
      <c r="BQ4" s="350"/>
      <c r="BR4" s="350"/>
      <c r="BS4" s="350"/>
      <c r="BT4" s="350"/>
      <c r="BU4" s="350"/>
      <c r="BV4" s="350"/>
      <c r="BW4" s="350"/>
      <c r="BX4" s="350"/>
      <c r="BY4" s="350"/>
    </row>
    <row r="5">
      <c r="A5" s="630" t="s">
        <v>350</v>
      </c>
      <c r="B5" s="7"/>
      <c r="C5" s="7"/>
      <c r="D5" s="7"/>
      <c r="E5" s="7"/>
      <c r="F5" s="5"/>
      <c r="G5" s="630" t="s">
        <v>347</v>
      </c>
      <c r="H5" s="7"/>
      <c r="I5" s="7"/>
      <c r="J5" s="7"/>
      <c r="K5" s="7"/>
      <c r="L5" s="5"/>
      <c r="M5" s="631" t="s">
        <v>52</v>
      </c>
      <c r="N5" s="7"/>
      <c r="O5" s="7"/>
      <c r="P5" s="5"/>
      <c r="Q5" s="632" t="s">
        <v>155</v>
      </c>
      <c r="R5" s="7"/>
      <c r="S5" s="7"/>
      <c r="T5" s="5"/>
      <c r="U5" s="638">
        <v>7.0</v>
      </c>
      <c r="V5" s="7"/>
      <c r="W5" s="7"/>
      <c r="X5" s="5"/>
      <c r="Y5" s="639">
        <v>3.0</v>
      </c>
      <c r="Z5" s="7"/>
      <c r="AA5" s="7"/>
      <c r="AB5" s="5"/>
      <c r="AC5" s="634">
        <f t="shared" ref="AC5:AC6" si="1">+3</f>
        <v>3</v>
      </c>
      <c r="AD5" s="640"/>
      <c r="AE5" s="640"/>
      <c r="AF5" s="641"/>
      <c r="AG5" s="637">
        <v>2.0</v>
      </c>
      <c r="AH5" s="350"/>
      <c r="AI5" s="350"/>
      <c r="AJ5" s="350"/>
      <c r="AK5" s="629"/>
      <c r="AL5" s="629"/>
      <c r="AM5" s="629"/>
      <c r="AN5" s="629"/>
      <c r="AO5" s="629"/>
      <c r="AP5" s="629"/>
      <c r="AQ5" s="629"/>
      <c r="AR5" s="629"/>
      <c r="AS5" s="629"/>
      <c r="AT5" s="629"/>
      <c r="AU5" s="629"/>
      <c r="AV5" s="629"/>
      <c r="AW5" s="629"/>
      <c r="AX5" s="629"/>
      <c r="AY5" s="350"/>
      <c r="AZ5" s="350"/>
      <c r="BA5" s="350"/>
      <c r="BB5" s="350"/>
      <c r="BC5" s="350"/>
      <c r="BD5" s="350"/>
      <c r="BE5" s="350"/>
      <c r="BF5" s="350"/>
      <c r="BG5" s="350"/>
      <c r="BH5" s="350"/>
      <c r="BI5" s="350"/>
      <c r="BJ5" s="350"/>
      <c r="BK5" s="350"/>
      <c r="BL5" s="350"/>
      <c r="BM5" s="350"/>
      <c r="BN5" s="350"/>
      <c r="BO5" s="350"/>
      <c r="BP5" s="350"/>
      <c r="BQ5" s="350"/>
      <c r="BR5" s="350"/>
      <c r="BS5" s="350"/>
      <c r="BT5" s="350"/>
      <c r="BU5" s="350"/>
      <c r="BV5" s="350"/>
      <c r="BW5" s="350"/>
      <c r="BX5" s="350"/>
      <c r="BY5" s="350"/>
    </row>
    <row r="6">
      <c r="A6" s="630" t="s">
        <v>351</v>
      </c>
      <c r="B6" s="7"/>
      <c r="C6" s="7"/>
      <c r="D6" s="7"/>
      <c r="E6" s="7"/>
      <c r="F6" s="5"/>
      <c r="G6" s="630" t="s">
        <v>347</v>
      </c>
      <c r="H6" s="7"/>
      <c r="I6" s="7"/>
      <c r="J6" s="7"/>
      <c r="K6" s="7"/>
      <c r="L6" s="5"/>
      <c r="M6" s="631" t="s">
        <v>52</v>
      </c>
      <c r="N6" s="7"/>
      <c r="O6" s="7"/>
      <c r="P6" s="5"/>
      <c r="Q6" s="632" t="s">
        <v>155</v>
      </c>
      <c r="R6" s="7"/>
      <c r="S6" s="7"/>
      <c r="T6" s="5"/>
      <c r="U6" s="642">
        <v>7.0</v>
      </c>
      <c r="V6" s="7"/>
      <c r="W6" s="7"/>
      <c r="X6" s="5"/>
      <c r="Y6" s="639">
        <v>3.0</v>
      </c>
      <c r="Z6" s="7"/>
      <c r="AA6" s="7"/>
      <c r="AB6" s="5"/>
      <c r="AC6" s="634">
        <f t="shared" si="1"/>
        <v>3</v>
      </c>
      <c r="AD6" s="640"/>
      <c r="AE6" s="640"/>
      <c r="AF6" s="641"/>
      <c r="AG6" s="637">
        <v>2.0</v>
      </c>
      <c r="AH6" s="350"/>
      <c r="AI6" s="350"/>
      <c r="AJ6" s="350"/>
      <c r="AK6" s="629"/>
      <c r="AL6" s="629"/>
      <c r="AM6" s="629"/>
      <c r="AN6" s="629"/>
      <c r="AO6" s="629"/>
      <c r="AP6" s="629"/>
      <c r="AQ6" s="629"/>
      <c r="AR6" s="629"/>
      <c r="AS6" s="629"/>
      <c r="AT6" s="629"/>
      <c r="AU6" s="629"/>
      <c r="AV6" s="629"/>
      <c r="AW6" s="629"/>
      <c r="AX6" s="629"/>
      <c r="AY6" s="350"/>
      <c r="AZ6" s="350"/>
      <c r="BA6" s="350"/>
      <c r="BB6" s="350"/>
      <c r="BC6" s="350"/>
      <c r="BD6" s="350"/>
      <c r="BE6" s="350"/>
      <c r="BF6" s="350"/>
      <c r="BG6" s="350"/>
      <c r="BH6" s="350"/>
      <c r="BI6" s="350"/>
      <c r="BJ6" s="350"/>
      <c r="BK6" s="350"/>
      <c r="BL6" s="350"/>
      <c r="BM6" s="350"/>
      <c r="BN6" s="350"/>
      <c r="BO6" s="350"/>
      <c r="BP6" s="350"/>
      <c r="BQ6" s="350"/>
      <c r="BR6" s="350"/>
      <c r="BS6" s="350"/>
      <c r="BT6" s="350"/>
      <c r="BU6" s="350"/>
      <c r="BV6" s="350"/>
      <c r="BW6" s="350"/>
      <c r="BX6" s="350"/>
      <c r="BY6" s="350"/>
    </row>
    <row r="7">
      <c r="A7" s="630" t="s">
        <v>352</v>
      </c>
      <c r="B7" s="7"/>
      <c r="C7" s="7"/>
      <c r="D7" s="7"/>
      <c r="E7" s="7"/>
      <c r="F7" s="5"/>
      <c r="G7" s="630" t="s">
        <v>347</v>
      </c>
      <c r="H7" s="7"/>
      <c r="I7" s="7"/>
      <c r="J7" s="7"/>
      <c r="K7" s="7"/>
      <c r="L7" s="5"/>
      <c r="M7" s="631" t="s">
        <v>52</v>
      </c>
      <c r="N7" s="7"/>
      <c r="O7" s="7"/>
      <c r="P7" s="5"/>
      <c r="Q7" s="632" t="s">
        <v>155</v>
      </c>
      <c r="R7" s="7"/>
      <c r="S7" s="7"/>
      <c r="T7" s="5"/>
      <c r="U7" s="642">
        <v>7.0</v>
      </c>
      <c r="V7" s="7"/>
      <c r="W7" s="7"/>
      <c r="X7" s="5"/>
      <c r="Y7" s="639">
        <v>4.0</v>
      </c>
      <c r="Z7" s="643"/>
      <c r="AA7" s="643"/>
      <c r="AB7" s="644"/>
      <c r="AC7" s="634">
        <f>+4</f>
        <v>4</v>
      </c>
      <c r="AD7" s="640"/>
      <c r="AE7" s="640"/>
      <c r="AF7" s="641"/>
      <c r="AG7" s="637">
        <v>3.0</v>
      </c>
      <c r="AH7" s="350"/>
      <c r="AI7" s="350"/>
      <c r="AJ7" s="350"/>
      <c r="AK7" s="629"/>
      <c r="AL7" s="629"/>
      <c r="AM7" s="629"/>
      <c r="AN7" s="629"/>
      <c r="AO7" s="629"/>
      <c r="AP7" s="629"/>
      <c r="AQ7" s="629"/>
      <c r="AR7" s="629"/>
      <c r="AS7" s="629"/>
      <c r="AT7" s="629"/>
      <c r="AU7" s="629"/>
      <c r="AV7" s="629"/>
      <c r="AW7" s="629"/>
      <c r="AX7" s="629"/>
      <c r="AY7" s="350"/>
      <c r="AZ7" s="350"/>
      <c r="BA7" s="350"/>
      <c r="BB7" s="350"/>
      <c r="BC7" s="350"/>
      <c r="BD7" s="350"/>
      <c r="BE7" s="350"/>
      <c r="BF7" s="350"/>
      <c r="BG7" s="350"/>
      <c r="BH7" s="350"/>
      <c r="BI7" s="350"/>
      <c r="BJ7" s="350"/>
      <c r="BK7" s="350"/>
      <c r="BL7" s="350"/>
      <c r="BM7" s="350"/>
      <c r="BN7" s="350"/>
      <c r="BO7" s="350"/>
      <c r="BP7" s="350"/>
      <c r="BQ7" s="350"/>
      <c r="BR7" s="350"/>
      <c r="BS7" s="350"/>
      <c r="BT7" s="350"/>
      <c r="BU7" s="350"/>
      <c r="BV7" s="350"/>
      <c r="BW7" s="350"/>
      <c r="BX7" s="350"/>
      <c r="BY7" s="350"/>
    </row>
    <row r="8">
      <c r="A8" s="630" t="s">
        <v>353</v>
      </c>
      <c r="B8" s="7"/>
      <c r="C8" s="7"/>
      <c r="D8" s="7"/>
      <c r="E8" s="7"/>
      <c r="F8" s="5"/>
      <c r="G8" s="630" t="s">
        <v>347</v>
      </c>
      <c r="H8" s="7"/>
      <c r="I8" s="7"/>
      <c r="J8" s="7"/>
      <c r="K8" s="7"/>
      <c r="L8" s="5"/>
      <c r="M8" s="631" t="s">
        <v>52</v>
      </c>
      <c r="N8" s="7"/>
      <c r="O8" s="7"/>
      <c r="P8" s="5"/>
      <c r="Q8" s="632" t="s">
        <v>155</v>
      </c>
      <c r="R8" s="7"/>
      <c r="S8" s="7"/>
      <c r="T8" s="5"/>
      <c r="U8" s="642">
        <v>7.0</v>
      </c>
      <c r="V8" s="7"/>
      <c r="W8" s="7"/>
      <c r="X8" s="5"/>
      <c r="Y8" s="639">
        <v>5.0</v>
      </c>
      <c r="Z8" s="643"/>
      <c r="AA8" s="643"/>
      <c r="AB8" s="644"/>
      <c r="AC8" s="634">
        <f>+5</f>
        <v>5</v>
      </c>
      <c r="AD8" s="640"/>
      <c r="AE8" s="640"/>
      <c r="AF8" s="641"/>
      <c r="AG8" s="637">
        <v>3.0</v>
      </c>
      <c r="AH8" s="350"/>
      <c r="AI8" s="350"/>
      <c r="AJ8" s="350"/>
      <c r="AK8" s="629"/>
      <c r="AL8" s="629"/>
      <c r="AM8" s="629"/>
      <c r="AN8" s="629"/>
      <c r="AO8" s="629"/>
      <c r="AP8" s="629"/>
      <c r="AQ8" s="629"/>
      <c r="AR8" s="629"/>
      <c r="AS8" s="629"/>
      <c r="AT8" s="629"/>
      <c r="AU8" s="629"/>
      <c r="AV8" s="629"/>
      <c r="AW8" s="629"/>
      <c r="AX8" s="629"/>
      <c r="AY8" s="350"/>
      <c r="AZ8" s="350"/>
      <c r="BA8" s="350"/>
      <c r="BB8" s="350"/>
      <c r="BC8" s="350"/>
      <c r="BD8" s="350"/>
      <c r="BE8" s="350"/>
      <c r="BF8" s="350"/>
      <c r="BG8" s="350"/>
      <c r="BH8" s="350"/>
      <c r="BI8" s="350"/>
      <c r="BJ8" s="350"/>
      <c r="BK8" s="350"/>
      <c r="BL8" s="350"/>
      <c r="BM8" s="350"/>
      <c r="BN8" s="350"/>
      <c r="BO8" s="350"/>
      <c r="BP8" s="350"/>
      <c r="BQ8" s="350"/>
      <c r="BR8" s="350"/>
      <c r="BS8" s="350"/>
      <c r="BT8" s="350"/>
      <c r="BU8" s="350"/>
      <c r="BV8" s="350"/>
      <c r="BW8" s="350"/>
      <c r="BX8" s="350"/>
      <c r="BY8" s="350"/>
    </row>
    <row r="9">
      <c r="A9" s="630" t="s">
        <v>229</v>
      </c>
      <c r="B9" s="7"/>
      <c r="C9" s="7"/>
      <c r="D9" s="7"/>
      <c r="E9" s="7"/>
      <c r="F9" s="5"/>
      <c r="G9" s="630" t="s">
        <v>354</v>
      </c>
      <c r="H9" s="7"/>
      <c r="I9" s="7"/>
      <c r="J9" s="7"/>
      <c r="K9" s="7"/>
      <c r="L9" s="5"/>
      <c r="M9" s="631" t="s">
        <v>52</v>
      </c>
      <c r="N9" s="7"/>
      <c r="O9" s="7"/>
      <c r="P9" s="5"/>
      <c r="Q9" s="632" t="s">
        <v>155</v>
      </c>
      <c r="R9" s="7"/>
      <c r="S9" s="7"/>
      <c r="T9" s="5"/>
      <c r="U9" s="642">
        <v>3.0</v>
      </c>
      <c r="V9" s="7"/>
      <c r="W9" s="7"/>
      <c r="X9" s="5"/>
      <c r="Y9" s="639">
        <v>4.0</v>
      </c>
      <c r="Z9" s="643"/>
      <c r="AA9" s="643"/>
      <c r="AB9" s="644"/>
      <c r="AC9" s="634">
        <f t="shared" ref="AC9:AC10" si="2">+4</f>
        <v>4</v>
      </c>
      <c r="AD9" s="640"/>
      <c r="AE9" s="640"/>
      <c r="AF9" s="641"/>
      <c r="AG9" s="637">
        <v>4.0</v>
      </c>
      <c r="AH9" s="350"/>
      <c r="AI9" s="350"/>
      <c r="AJ9" s="350"/>
      <c r="AK9" s="629"/>
      <c r="AL9" s="629"/>
      <c r="AM9" s="629"/>
      <c r="AN9" s="629"/>
      <c r="AO9" s="629"/>
      <c r="AP9" s="629"/>
      <c r="AQ9" s="629"/>
      <c r="AR9" s="629"/>
      <c r="AS9" s="629"/>
      <c r="AT9" s="629"/>
      <c r="AU9" s="629"/>
      <c r="AV9" s="629"/>
      <c r="AW9" s="629"/>
      <c r="AX9" s="629"/>
      <c r="AY9" s="350"/>
      <c r="AZ9" s="350"/>
      <c r="BA9" s="350"/>
      <c r="BB9" s="350"/>
      <c r="BC9" s="350"/>
      <c r="BD9" s="350"/>
      <c r="BE9" s="350"/>
      <c r="BF9" s="350"/>
      <c r="BG9" s="350"/>
      <c r="BH9" s="350"/>
      <c r="BI9" s="350"/>
      <c r="BJ9" s="350"/>
      <c r="BK9" s="350"/>
      <c r="BL9" s="350"/>
      <c r="BM9" s="350"/>
      <c r="BN9" s="350"/>
      <c r="BO9" s="350"/>
      <c r="BP9" s="350"/>
      <c r="BQ9" s="350"/>
      <c r="BR9" s="350"/>
      <c r="BS9" s="350"/>
      <c r="BT9" s="350"/>
      <c r="BU9" s="350"/>
      <c r="BV9" s="350"/>
      <c r="BW9" s="350"/>
      <c r="BX9" s="350"/>
      <c r="BY9" s="350"/>
    </row>
    <row r="10">
      <c r="A10" s="630" t="s">
        <v>355</v>
      </c>
      <c r="B10" s="7"/>
      <c r="C10" s="7"/>
      <c r="D10" s="7"/>
      <c r="E10" s="7"/>
      <c r="F10" s="5"/>
      <c r="G10" s="630" t="s">
        <v>354</v>
      </c>
      <c r="H10" s="7"/>
      <c r="I10" s="7"/>
      <c r="J10" s="7"/>
      <c r="K10" s="7"/>
      <c r="L10" s="5"/>
      <c r="M10" s="631" t="s">
        <v>52</v>
      </c>
      <c r="N10" s="7"/>
      <c r="O10" s="7"/>
      <c r="P10" s="5"/>
      <c r="Q10" s="632" t="s">
        <v>155</v>
      </c>
      <c r="R10" s="7"/>
      <c r="S10" s="7"/>
      <c r="T10" s="5"/>
      <c r="U10" s="642">
        <v>3.0</v>
      </c>
      <c r="V10" s="7"/>
      <c r="W10" s="7"/>
      <c r="X10" s="5"/>
      <c r="Y10" s="639">
        <v>4.0</v>
      </c>
      <c r="Z10" s="643"/>
      <c r="AA10" s="643"/>
      <c r="AB10" s="644"/>
      <c r="AC10" s="634">
        <f t="shared" si="2"/>
        <v>4</v>
      </c>
      <c r="AD10" s="640"/>
      <c r="AE10" s="640"/>
      <c r="AF10" s="641"/>
      <c r="AG10" s="637">
        <v>3.0</v>
      </c>
      <c r="AH10" s="350"/>
      <c r="AI10" s="350"/>
      <c r="AJ10" s="350"/>
      <c r="AK10" s="629"/>
      <c r="AL10" s="629"/>
      <c r="AM10" s="629"/>
      <c r="AN10" s="629"/>
      <c r="AO10" s="629"/>
      <c r="AP10" s="629"/>
      <c r="AQ10" s="629"/>
      <c r="AR10" s="629"/>
      <c r="AS10" s="629"/>
      <c r="AT10" s="629"/>
      <c r="AU10" s="629"/>
      <c r="AV10" s="629"/>
      <c r="AW10" s="629"/>
      <c r="AX10" s="629"/>
      <c r="AY10" s="350"/>
      <c r="AZ10" s="350"/>
      <c r="BA10" s="350"/>
      <c r="BB10" s="350"/>
      <c r="BC10" s="350"/>
      <c r="BD10" s="350"/>
      <c r="BE10" s="350"/>
      <c r="BF10" s="350"/>
      <c r="BG10" s="350"/>
      <c r="BH10" s="350"/>
      <c r="BI10" s="350"/>
      <c r="BJ10" s="350"/>
      <c r="BK10" s="350"/>
      <c r="BL10" s="350"/>
      <c r="BM10" s="350"/>
      <c r="BN10" s="350"/>
      <c r="BO10" s="350"/>
      <c r="BP10" s="350"/>
      <c r="BQ10" s="350"/>
      <c r="BR10" s="350"/>
      <c r="BS10" s="350"/>
      <c r="BT10" s="350"/>
      <c r="BU10" s="350"/>
      <c r="BV10" s="350"/>
      <c r="BW10" s="350"/>
      <c r="BX10" s="350"/>
      <c r="BY10" s="350"/>
    </row>
    <row r="11">
      <c r="A11" s="630" t="s">
        <v>227</v>
      </c>
      <c r="B11" s="7"/>
      <c r="C11" s="7"/>
      <c r="D11" s="7"/>
      <c r="E11" s="7"/>
      <c r="F11" s="5"/>
      <c r="G11" s="630" t="s">
        <v>354</v>
      </c>
      <c r="H11" s="7"/>
      <c r="I11" s="7"/>
      <c r="J11" s="7"/>
      <c r="K11" s="7"/>
      <c r="L11" s="5"/>
      <c r="M11" s="631" t="s">
        <v>52</v>
      </c>
      <c r="N11" s="7"/>
      <c r="O11" s="7"/>
      <c r="P11" s="5"/>
      <c r="Q11" s="632" t="s">
        <v>155</v>
      </c>
      <c r="R11" s="7"/>
      <c r="S11" s="7"/>
      <c r="T11" s="5"/>
      <c r="U11" s="642">
        <v>3.0</v>
      </c>
      <c r="V11" s="7"/>
      <c r="W11" s="7"/>
      <c r="X11" s="5"/>
      <c r="Y11" s="639">
        <v>5.0</v>
      </c>
      <c r="Z11" s="643"/>
      <c r="AA11" s="643"/>
      <c r="AB11" s="644"/>
      <c r="AC11" s="634">
        <f t="shared" ref="AC11:AC12" si="3">+5</f>
        <v>5</v>
      </c>
      <c r="AD11" s="640"/>
      <c r="AE11" s="640"/>
      <c r="AF11" s="641"/>
      <c r="AG11" s="637">
        <v>4.0</v>
      </c>
      <c r="AH11" s="350"/>
      <c r="AI11" s="350"/>
      <c r="AJ11" s="350"/>
      <c r="AK11" s="629"/>
      <c r="AL11" s="629"/>
      <c r="AM11" s="629"/>
      <c r="AN11" s="629"/>
      <c r="AO11" s="629"/>
      <c r="AP11" s="629"/>
      <c r="AQ11" s="629"/>
      <c r="AR11" s="629"/>
      <c r="AS11" s="629"/>
      <c r="AT11" s="629"/>
      <c r="AU11" s="629"/>
      <c r="AV11" s="629"/>
      <c r="AW11" s="629"/>
      <c r="AX11" s="629"/>
      <c r="AY11" s="350"/>
      <c r="AZ11" s="350"/>
      <c r="BA11" s="350"/>
      <c r="BB11" s="350"/>
      <c r="BC11" s="350"/>
      <c r="BD11" s="350"/>
      <c r="BE11" s="350"/>
      <c r="BF11" s="350"/>
      <c r="BG11" s="350"/>
      <c r="BH11" s="350"/>
      <c r="BI11" s="350"/>
      <c r="BJ11" s="350"/>
      <c r="BK11" s="350"/>
      <c r="BL11" s="350"/>
      <c r="BM11" s="350"/>
      <c r="BN11" s="350"/>
      <c r="BO11" s="350"/>
      <c r="BP11" s="350"/>
      <c r="BQ11" s="350"/>
      <c r="BR11" s="350"/>
      <c r="BS11" s="350"/>
      <c r="BT11" s="350"/>
      <c r="BU11" s="350"/>
      <c r="BV11" s="350"/>
      <c r="BW11" s="350"/>
      <c r="BX11" s="350"/>
      <c r="BY11" s="350"/>
    </row>
    <row r="12">
      <c r="A12" s="630" t="s">
        <v>356</v>
      </c>
      <c r="B12" s="7"/>
      <c r="C12" s="7"/>
      <c r="D12" s="7"/>
      <c r="E12" s="7"/>
      <c r="F12" s="5"/>
      <c r="G12" s="630" t="s">
        <v>354</v>
      </c>
      <c r="H12" s="7"/>
      <c r="I12" s="7"/>
      <c r="J12" s="7"/>
      <c r="K12" s="7"/>
      <c r="L12" s="5"/>
      <c r="M12" s="631" t="s">
        <v>52</v>
      </c>
      <c r="N12" s="7"/>
      <c r="O12" s="7"/>
      <c r="P12" s="5"/>
      <c r="Q12" s="632" t="s">
        <v>155</v>
      </c>
      <c r="R12" s="7"/>
      <c r="S12" s="7"/>
      <c r="T12" s="5"/>
      <c r="U12" s="642">
        <v>3.0</v>
      </c>
      <c r="V12" s="7"/>
      <c r="W12" s="7"/>
      <c r="X12" s="5"/>
      <c r="Y12" s="639">
        <v>5.0</v>
      </c>
      <c r="Z12" s="643"/>
      <c r="AA12" s="643"/>
      <c r="AB12" s="644"/>
      <c r="AC12" s="634">
        <f t="shared" si="3"/>
        <v>5</v>
      </c>
      <c r="AD12" s="640"/>
      <c r="AE12" s="640"/>
      <c r="AF12" s="641"/>
      <c r="AG12" s="637">
        <v>5.0</v>
      </c>
      <c r="AH12" s="350"/>
      <c r="AI12" s="350"/>
      <c r="AJ12" s="350"/>
      <c r="AK12" s="629"/>
      <c r="AL12" s="629"/>
      <c r="AM12" s="629"/>
      <c r="AN12" s="629"/>
      <c r="AO12" s="629"/>
      <c r="AP12" s="629"/>
      <c r="AQ12" s="629"/>
      <c r="AR12" s="629"/>
      <c r="AS12" s="629"/>
      <c r="AT12" s="629"/>
      <c r="AU12" s="629"/>
      <c r="AV12" s="629"/>
      <c r="AW12" s="629"/>
      <c r="AX12" s="629"/>
      <c r="AY12" s="350"/>
      <c r="AZ12" s="350"/>
      <c r="BA12" s="350"/>
      <c r="BB12" s="350"/>
      <c r="BC12" s="350"/>
      <c r="BD12" s="350"/>
      <c r="BE12" s="350"/>
      <c r="BF12" s="350"/>
      <c r="BG12" s="350"/>
      <c r="BH12" s="350"/>
      <c r="BI12" s="350"/>
      <c r="BJ12" s="350"/>
      <c r="BK12" s="350"/>
      <c r="BL12" s="350"/>
      <c r="BM12" s="350"/>
      <c r="BN12" s="350"/>
      <c r="BO12" s="350"/>
      <c r="BP12" s="350"/>
      <c r="BQ12" s="350"/>
      <c r="BR12" s="350"/>
      <c r="BS12" s="350"/>
      <c r="BT12" s="350"/>
      <c r="BU12" s="350"/>
      <c r="BV12" s="350"/>
      <c r="BW12" s="350"/>
      <c r="BX12" s="350"/>
      <c r="BY12" s="350"/>
    </row>
    <row r="13">
      <c r="A13" s="630" t="s">
        <v>357</v>
      </c>
      <c r="B13" s="7"/>
      <c r="C13" s="7"/>
      <c r="D13" s="7"/>
      <c r="E13" s="7"/>
      <c r="F13" s="5"/>
      <c r="G13" s="630" t="s">
        <v>354</v>
      </c>
      <c r="H13" s="7"/>
      <c r="I13" s="7"/>
      <c r="J13" s="7"/>
      <c r="K13" s="7"/>
      <c r="L13" s="5"/>
      <c r="M13" s="631" t="s">
        <v>52</v>
      </c>
      <c r="N13" s="7"/>
      <c r="O13" s="7"/>
      <c r="P13" s="5"/>
      <c r="Q13" s="632" t="s">
        <v>155</v>
      </c>
      <c r="R13" s="7"/>
      <c r="S13" s="7"/>
      <c r="T13" s="5"/>
      <c r="U13" s="642">
        <v>3.0</v>
      </c>
      <c r="V13" s="7"/>
      <c r="W13" s="7"/>
      <c r="X13" s="5"/>
      <c r="Y13" s="639">
        <v>6.0</v>
      </c>
      <c r="Z13" s="643"/>
      <c r="AA13" s="643"/>
      <c r="AB13" s="644"/>
      <c r="AC13" s="634">
        <f t="shared" ref="AC13:AC16" si="4">+6</f>
        <v>6</v>
      </c>
      <c r="AD13" s="640"/>
      <c r="AE13" s="640"/>
      <c r="AF13" s="641"/>
      <c r="AG13" s="637">
        <v>6.0</v>
      </c>
      <c r="AH13" s="350"/>
      <c r="AI13" s="350"/>
      <c r="AJ13" s="350"/>
      <c r="AK13" s="629"/>
      <c r="AL13" s="629"/>
      <c r="AM13" s="629"/>
      <c r="AN13" s="629"/>
      <c r="AO13" s="629"/>
      <c r="AP13" s="629"/>
      <c r="AQ13" s="629"/>
      <c r="AR13" s="629"/>
      <c r="AS13" s="629"/>
      <c r="AT13" s="629"/>
      <c r="AU13" s="629"/>
      <c r="AV13" s="629"/>
      <c r="AW13" s="629"/>
      <c r="AX13" s="629"/>
      <c r="AY13" s="350"/>
      <c r="AZ13" s="350"/>
      <c r="BA13" s="350"/>
      <c r="BB13" s="350"/>
      <c r="BC13" s="350"/>
      <c r="BD13" s="350"/>
      <c r="BE13" s="350"/>
      <c r="BF13" s="350"/>
      <c r="BG13" s="350"/>
      <c r="BH13" s="350"/>
      <c r="BI13" s="350"/>
      <c r="BJ13" s="350"/>
      <c r="BK13" s="350"/>
      <c r="BL13" s="350"/>
      <c r="BM13" s="350"/>
      <c r="BN13" s="350"/>
      <c r="BO13" s="350"/>
      <c r="BP13" s="350"/>
      <c r="BQ13" s="350"/>
      <c r="BR13" s="350"/>
      <c r="BS13" s="350"/>
      <c r="BT13" s="350"/>
      <c r="BU13" s="350"/>
      <c r="BV13" s="350"/>
      <c r="BW13" s="350"/>
      <c r="BX13" s="350"/>
      <c r="BY13" s="350"/>
    </row>
    <row r="14">
      <c r="A14" s="630" t="s">
        <v>358</v>
      </c>
      <c r="B14" s="7"/>
      <c r="C14" s="7"/>
      <c r="D14" s="7"/>
      <c r="E14" s="7"/>
      <c r="F14" s="5"/>
      <c r="G14" s="630" t="s">
        <v>354</v>
      </c>
      <c r="H14" s="7"/>
      <c r="I14" s="7"/>
      <c r="J14" s="7"/>
      <c r="K14" s="7"/>
      <c r="L14" s="5"/>
      <c r="M14" s="631" t="s">
        <v>52</v>
      </c>
      <c r="N14" s="7"/>
      <c r="O14" s="7"/>
      <c r="P14" s="5"/>
      <c r="Q14" s="632" t="s">
        <v>155</v>
      </c>
      <c r="R14" s="7"/>
      <c r="S14" s="7"/>
      <c r="T14" s="5"/>
      <c r="U14" s="642">
        <v>3.0</v>
      </c>
      <c r="V14" s="7"/>
      <c r="W14" s="7"/>
      <c r="X14" s="5"/>
      <c r="Y14" s="639">
        <v>6.0</v>
      </c>
      <c r="Z14" s="643"/>
      <c r="AA14" s="643"/>
      <c r="AB14" s="644"/>
      <c r="AC14" s="634">
        <f t="shared" si="4"/>
        <v>6</v>
      </c>
      <c r="AD14" s="640"/>
      <c r="AE14" s="640"/>
      <c r="AF14" s="641"/>
      <c r="AG14" s="637">
        <v>6.0</v>
      </c>
      <c r="AH14" s="350"/>
      <c r="AI14" s="350"/>
      <c r="AJ14" s="350"/>
      <c r="AK14" s="629"/>
      <c r="AL14" s="629"/>
      <c r="AM14" s="629"/>
      <c r="AN14" s="629"/>
      <c r="AO14" s="629"/>
      <c r="AP14" s="629"/>
      <c r="AQ14" s="629"/>
      <c r="AR14" s="629"/>
      <c r="AS14" s="629"/>
      <c r="AT14" s="629"/>
      <c r="AU14" s="629"/>
      <c r="AV14" s="629"/>
      <c r="AW14" s="629"/>
      <c r="AX14" s="629"/>
      <c r="AY14" s="350"/>
      <c r="AZ14" s="350"/>
      <c r="BA14" s="350"/>
      <c r="BB14" s="350"/>
      <c r="BC14" s="350"/>
      <c r="BD14" s="350"/>
      <c r="BE14" s="350"/>
      <c r="BF14" s="350"/>
      <c r="BG14" s="350"/>
      <c r="BH14" s="350"/>
      <c r="BI14" s="350"/>
      <c r="BJ14" s="350"/>
      <c r="BK14" s="350"/>
      <c r="BL14" s="350"/>
      <c r="BM14" s="350"/>
      <c r="BN14" s="350"/>
      <c r="BO14" s="350"/>
      <c r="BP14" s="350"/>
      <c r="BQ14" s="350"/>
      <c r="BR14" s="350"/>
      <c r="BS14" s="350"/>
      <c r="BT14" s="350"/>
      <c r="BU14" s="350"/>
      <c r="BV14" s="350"/>
      <c r="BW14" s="350"/>
      <c r="BX14" s="350"/>
      <c r="BY14" s="350"/>
    </row>
    <row r="15">
      <c r="A15" s="630" t="s">
        <v>359</v>
      </c>
      <c r="B15" s="7"/>
      <c r="C15" s="7"/>
      <c r="D15" s="7"/>
      <c r="E15" s="7"/>
      <c r="F15" s="5"/>
      <c r="G15" s="630" t="s">
        <v>360</v>
      </c>
      <c r="H15" s="7"/>
      <c r="I15" s="7"/>
      <c r="J15" s="7"/>
      <c r="K15" s="7"/>
      <c r="L15" s="5"/>
      <c r="M15" s="632" t="s">
        <v>155</v>
      </c>
      <c r="N15" s="7"/>
      <c r="O15" s="7"/>
      <c r="P15" s="5"/>
      <c r="Q15" s="632" t="s">
        <v>155</v>
      </c>
      <c r="R15" s="7"/>
      <c r="S15" s="7"/>
      <c r="T15" s="5"/>
      <c r="U15" s="638">
        <v>0.0</v>
      </c>
      <c r="V15" s="7"/>
      <c r="W15" s="7"/>
      <c r="X15" s="5"/>
      <c r="Y15" s="639">
        <v>6.0</v>
      </c>
      <c r="Z15" s="643"/>
      <c r="AA15" s="643"/>
      <c r="AB15" s="644"/>
      <c r="AC15" s="634">
        <f t="shared" si="4"/>
        <v>6</v>
      </c>
      <c r="AD15" s="640"/>
      <c r="AE15" s="640"/>
      <c r="AF15" s="641"/>
      <c r="AG15" s="637">
        <v>6.0</v>
      </c>
      <c r="AH15" s="350"/>
      <c r="AI15" s="350"/>
      <c r="AJ15" s="350"/>
      <c r="AK15" s="629"/>
      <c r="AL15" s="629"/>
      <c r="AM15" s="629"/>
      <c r="AN15" s="629"/>
      <c r="AO15" s="629"/>
      <c r="AP15" s="629"/>
      <c r="AQ15" s="629"/>
      <c r="AR15" s="629"/>
      <c r="AS15" s="629"/>
      <c r="AT15" s="629"/>
      <c r="AU15" s="629"/>
      <c r="AV15" s="629"/>
      <c r="AW15" s="629"/>
      <c r="AX15" s="629"/>
      <c r="AY15" s="350"/>
      <c r="AZ15" s="350"/>
      <c r="BA15" s="350"/>
      <c r="BB15" s="350"/>
      <c r="BC15" s="350"/>
      <c r="BD15" s="350"/>
      <c r="BE15" s="350"/>
      <c r="BF15" s="350"/>
      <c r="BG15" s="350"/>
      <c r="BH15" s="350"/>
      <c r="BI15" s="350"/>
      <c r="BJ15" s="350"/>
      <c r="BK15" s="350"/>
      <c r="BL15" s="350"/>
      <c r="BM15" s="350"/>
      <c r="BN15" s="350"/>
      <c r="BO15" s="350"/>
      <c r="BP15" s="350"/>
      <c r="BQ15" s="350"/>
      <c r="BR15" s="350"/>
      <c r="BS15" s="350"/>
      <c r="BT15" s="350"/>
      <c r="BU15" s="350"/>
      <c r="BV15" s="350"/>
      <c r="BW15" s="350"/>
      <c r="BX15" s="350"/>
      <c r="BY15" s="350"/>
    </row>
    <row r="16">
      <c r="A16" s="630" t="s">
        <v>361</v>
      </c>
      <c r="B16" s="7"/>
      <c r="C16" s="7"/>
      <c r="D16" s="7"/>
      <c r="E16" s="7"/>
      <c r="F16" s="5"/>
      <c r="G16" s="630" t="s">
        <v>360</v>
      </c>
      <c r="H16" s="7"/>
      <c r="I16" s="7"/>
      <c r="J16" s="7"/>
      <c r="K16" s="7"/>
      <c r="L16" s="5"/>
      <c r="M16" s="632" t="s">
        <v>155</v>
      </c>
      <c r="N16" s="7"/>
      <c r="O16" s="7"/>
      <c r="P16" s="5"/>
      <c r="Q16" s="632" t="s">
        <v>155</v>
      </c>
      <c r="R16" s="7"/>
      <c r="S16" s="7"/>
      <c r="T16" s="5"/>
      <c r="U16" s="638">
        <v>0.0</v>
      </c>
      <c r="V16" s="7"/>
      <c r="W16" s="7"/>
      <c r="X16" s="5"/>
      <c r="Y16" s="639">
        <v>6.0</v>
      </c>
      <c r="Z16" s="7"/>
      <c r="AA16" s="7"/>
      <c r="AB16" s="5"/>
      <c r="AC16" s="634">
        <f t="shared" si="4"/>
        <v>6</v>
      </c>
      <c r="AD16" s="640"/>
      <c r="AE16" s="640"/>
      <c r="AF16" s="641"/>
      <c r="AG16" s="637">
        <v>5.0</v>
      </c>
      <c r="AH16" s="350"/>
      <c r="AI16" s="350"/>
      <c r="AJ16" s="350"/>
      <c r="AK16" s="629"/>
      <c r="AL16" s="629"/>
      <c r="AM16" s="629"/>
      <c r="AN16" s="629"/>
      <c r="AO16" s="629"/>
      <c r="AP16" s="629"/>
      <c r="AQ16" s="629"/>
      <c r="AR16" s="629"/>
      <c r="AS16" s="629"/>
      <c r="AT16" s="629"/>
      <c r="AU16" s="629"/>
      <c r="AV16" s="629"/>
      <c r="AW16" s="629"/>
      <c r="AX16" s="629"/>
      <c r="AY16" s="350"/>
      <c r="AZ16" s="350"/>
      <c r="BA16" s="350"/>
      <c r="BB16" s="350"/>
      <c r="BC16" s="350"/>
      <c r="BD16" s="350"/>
      <c r="BE16" s="350"/>
      <c r="BF16" s="350"/>
      <c r="BG16" s="350"/>
      <c r="BH16" s="350"/>
      <c r="BI16" s="350"/>
      <c r="BJ16" s="350"/>
      <c r="BK16" s="350"/>
      <c r="BL16" s="350"/>
      <c r="BM16" s="350"/>
      <c r="BN16" s="350"/>
      <c r="BO16" s="350"/>
      <c r="BP16" s="350"/>
      <c r="BQ16" s="350"/>
      <c r="BR16" s="350"/>
      <c r="BS16" s="350"/>
      <c r="BT16" s="350"/>
      <c r="BU16" s="350"/>
      <c r="BV16" s="350"/>
      <c r="BW16" s="350"/>
      <c r="BX16" s="350"/>
      <c r="BY16" s="350"/>
    </row>
    <row r="17">
      <c r="A17" s="630" t="s">
        <v>362</v>
      </c>
      <c r="B17" s="7"/>
      <c r="C17" s="7"/>
      <c r="D17" s="7"/>
      <c r="E17" s="7"/>
      <c r="F17" s="5"/>
      <c r="G17" s="630" t="s">
        <v>360</v>
      </c>
      <c r="H17" s="7"/>
      <c r="I17" s="7"/>
      <c r="J17" s="7"/>
      <c r="K17" s="7"/>
      <c r="L17" s="5"/>
      <c r="M17" s="632" t="s">
        <v>155</v>
      </c>
      <c r="N17" s="7"/>
      <c r="O17" s="7"/>
      <c r="P17" s="5"/>
      <c r="Q17" s="632" t="s">
        <v>155</v>
      </c>
      <c r="R17" s="7"/>
      <c r="S17" s="7"/>
      <c r="T17" s="5"/>
      <c r="U17" s="638">
        <v>0.0</v>
      </c>
      <c r="V17" s="7"/>
      <c r="W17" s="7"/>
      <c r="X17" s="5"/>
      <c r="Y17" s="639">
        <v>7.0</v>
      </c>
      <c r="Z17" s="7"/>
      <c r="AA17" s="7"/>
      <c r="AB17" s="5"/>
      <c r="AC17" s="634">
        <f t="shared" ref="AC17:AC18" si="5">+7</f>
        <v>7</v>
      </c>
      <c r="AD17" s="640"/>
      <c r="AE17" s="640"/>
      <c r="AF17" s="641"/>
      <c r="AG17" s="637">
        <v>4.0</v>
      </c>
      <c r="AH17" s="350"/>
      <c r="AI17" s="350"/>
      <c r="AJ17" s="350"/>
      <c r="AK17" s="629"/>
      <c r="AL17" s="629"/>
      <c r="AM17" s="629"/>
      <c r="AN17" s="629"/>
      <c r="AO17" s="629"/>
      <c r="AP17" s="629"/>
      <c r="AQ17" s="629"/>
      <c r="AR17" s="629"/>
      <c r="AS17" s="629"/>
      <c r="AT17" s="629"/>
      <c r="AU17" s="629"/>
      <c r="AV17" s="629"/>
      <c r="AW17" s="629"/>
      <c r="AX17" s="629"/>
      <c r="AY17" s="350"/>
      <c r="AZ17" s="350"/>
      <c r="BA17" s="350"/>
      <c r="BB17" s="350"/>
      <c r="BC17" s="350"/>
      <c r="BD17" s="350"/>
      <c r="BE17" s="350"/>
      <c r="BF17" s="350"/>
      <c r="BG17" s="350"/>
      <c r="BH17" s="350"/>
      <c r="BI17" s="350"/>
      <c r="BJ17" s="350"/>
      <c r="BK17" s="350"/>
      <c r="BL17" s="350"/>
      <c r="BM17" s="350"/>
      <c r="BN17" s="350"/>
      <c r="BO17" s="350"/>
      <c r="BP17" s="350"/>
      <c r="BQ17" s="350"/>
      <c r="BR17" s="350"/>
      <c r="BS17" s="350"/>
      <c r="BT17" s="350"/>
      <c r="BU17" s="350"/>
      <c r="BV17" s="350"/>
      <c r="BW17" s="350"/>
      <c r="BX17" s="350"/>
      <c r="BY17" s="350"/>
    </row>
    <row r="18">
      <c r="A18" s="630" t="s">
        <v>363</v>
      </c>
      <c r="B18" s="7"/>
      <c r="C18" s="7"/>
      <c r="D18" s="7"/>
      <c r="E18" s="7"/>
      <c r="F18" s="5"/>
      <c r="G18" s="630" t="s">
        <v>360</v>
      </c>
      <c r="H18" s="7"/>
      <c r="I18" s="7"/>
      <c r="J18" s="7"/>
      <c r="K18" s="7"/>
      <c r="L18" s="5"/>
      <c r="M18" s="632" t="s">
        <v>155</v>
      </c>
      <c r="N18" s="7"/>
      <c r="O18" s="7"/>
      <c r="P18" s="5"/>
      <c r="Q18" s="632" t="s">
        <v>155</v>
      </c>
      <c r="R18" s="7"/>
      <c r="S18" s="7"/>
      <c r="T18" s="5"/>
      <c r="U18" s="638">
        <v>0.0</v>
      </c>
      <c r="V18" s="7"/>
      <c r="W18" s="7"/>
      <c r="X18" s="5"/>
      <c r="Y18" s="639">
        <v>7.0</v>
      </c>
      <c r="Z18" s="7"/>
      <c r="AA18" s="7"/>
      <c r="AB18" s="5"/>
      <c r="AC18" s="634">
        <f t="shared" si="5"/>
        <v>7</v>
      </c>
      <c r="AD18" s="640"/>
      <c r="AE18" s="640"/>
      <c r="AF18" s="641"/>
      <c r="AG18" s="637">
        <v>6.0</v>
      </c>
      <c r="AH18" s="350"/>
      <c r="AI18" s="350"/>
      <c r="AJ18" s="350"/>
      <c r="AK18" s="629"/>
      <c r="AL18" s="629"/>
      <c r="AM18" s="629"/>
      <c r="AN18" s="629"/>
      <c r="AO18" s="629"/>
      <c r="AP18" s="629"/>
      <c r="AQ18" s="629"/>
      <c r="AR18" s="629"/>
      <c r="AS18" s="629"/>
      <c r="AT18" s="629"/>
      <c r="AU18" s="629"/>
      <c r="AV18" s="629"/>
      <c r="AW18" s="629"/>
      <c r="AX18" s="629"/>
      <c r="AY18" s="350"/>
      <c r="AZ18" s="350"/>
      <c r="BA18" s="350"/>
      <c r="BB18" s="350"/>
      <c r="BC18" s="350"/>
      <c r="BD18" s="350"/>
      <c r="BE18" s="350"/>
      <c r="BF18" s="350"/>
      <c r="BG18" s="350"/>
      <c r="BH18" s="350"/>
      <c r="BI18" s="350"/>
      <c r="BJ18" s="350"/>
      <c r="BK18" s="350"/>
      <c r="BL18" s="350"/>
      <c r="BM18" s="350"/>
      <c r="BN18" s="350"/>
      <c r="BO18" s="350"/>
      <c r="BP18" s="350"/>
      <c r="BQ18" s="350"/>
      <c r="BR18" s="350"/>
      <c r="BS18" s="350"/>
      <c r="BT18" s="350"/>
      <c r="BU18" s="350"/>
      <c r="BV18" s="350"/>
      <c r="BW18" s="350"/>
      <c r="BX18" s="350"/>
      <c r="BY18" s="350"/>
    </row>
    <row r="19">
      <c r="A19" s="630" t="s">
        <v>364</v>
      </c>
      <c r="B19" s="7"/>
      <c r="C19" s="7"/>
      <c r="D19" s="7"/>
      <c r="E19" s="7"/>
      <c r="F19" s="5"/>
      <c r="G19" s="630" t="s">
        <v>360</v>
      </c>
      <c r="H19" s="7"/>
      <c r="I19" s="7"/>
      <c r="J19" s="7"/>
      <c r="K19" s="7"/>
      <c r="L19" s="5"/>
      <c r="M19" s="632" t="s">
        <v>155</v>
      </c>
      <c r="N19" s="7"/>
      <c r="O19" s="7"/>
      <c r="P19" s="5"/>
      <c r="Q19" s="632" t="s">
        <v>155</v>
      </c>
      <c r="R19" s="7"/>
      <c r="S19" s="7"/>
      <c r="T19" s="5"/>
      <c r="U19" s="638">
        <v>0.0</v>
      </c>
      <c r="V19" s="7"/>
      <c r="W19" s="7"/>
      <c r="X19" s="5"/>
      <c r="Y19" s="639">
        <v>8.0</v>
      </c>
      <c r="Z19" s="7"/>
      <c r="AA19" s="7"/>
      <c r="AB19" s="5"/>
      <c r="AC19" s="634">
        <f t="shared" ref="AC19:AC20" si="6">+8</f>
        <v>8</v>
      </c>
      <c r="AD19" s="635"/>
      <c r="AE19" s="635"/>
      <c r="AF19" s="636"/>
      <c r="AG19" s="637">
        <v>6.0</v>
      </c>
      <c r="AH19" s="350"/>
      <c r="AI19" s="350"/>
      <c r="AJ19" s="350"/>
      <c r="AK19" s="629"/>
      <c r="AL19" s="629"/>
      <c r="AM19" s="629"/>
      <c r="AN19" s="629"/>
      <c r="AO19" s="629"/>
      <c r="AP19" s="629"/>
      <c r="AQ19" s="629"/>
      <c r="AR19" s="629"/>
      <c r="AS19" s="629"/>
      <c r="AT19" s="629"/>
      <c r="AU19" s="629"/>
      <c r="AV19" s="629"/>
      <c r="AW19" s="629"/>
      <c r="AX19" s="629"/>
      <c r="AY19" s="350"/>
      <c r="AZ19" s="350"/>
      <c r="BA19" s="350"/>
      <c r="BB19" s="350"/>
      <c r="BC19" s="350"/>
      <c r="BD19" s="350"/>
      <c r="BE19" s="350"/>
      <c r="BF19" s="350"/>
      <c r="BG19" s="350"/>
      <c r="BH19" s="350"/>
      <c r="BI19" s="350"/>
      <c r="BJ19" s="350"/>
      <c r="BK19" s="350"/>
      <c r="BL19" s="350"/>
      <c r="BM19" s="350"/>
      <c r="BN19" s="350"/>
      <c r="BO19" s="350"/>
      <c r="BP19" s="350"/>
      <c r="BQ19" s="350"/>
      <c r="BR19" s="350"/>
      <c r="BS19" s="350"/>
      <c r="BT19" s="350"/>
      <c r="BU19" s="350"/>
      <c r="BV19" s="350"/>
      <c r="BW19" s="350"/>
      <c r="BX19" s="350"/>
      <c r="BY19" s="350"/>
    </row>
    <row r="20">
      <c r="A20" s="630" t="s">
        <v>365</v>
      </c>
      <c r="B20" s="7"/>
      <c r="C20" s="7"/>
      <c r="D20" s="7"/>
      <c r="E20" s="7"/>
      <c r="F20" s="5"/>
      <c r="G20" s="630" t="s">
        <v>360</v>
      </c>
      <c r="H20" s="7"/>
      <c r="I20" s="7"/>
      <c r="J20" s="7"/>
      <c r="K20" s="7"/>
      <c r="L20" s="5"/>
      <c r="M20" s="632" t="s">
        <v>155</v>
      </c>
      <c r="N20" s="7"/>
      <c r="O20" s="7"/>
      <c r="P20" s="5"/>
      <c r="Q20" s="632" t="s">
        <v>155</v>
      </c>
      <c r="R20" s="7"/>
      <c r="S20" s="7"/>
      <c r="T20" s="5"/>
      <c r="U20" s="638">
        <v>0.0</v>
      </c>
      <c r="V20" s="7"/>
      <c r="W20" s="7"/>
      <c r="X20" s="5"/>
      <c r="Y20" s="639">
        <v>8.0</v>
      </c>
      <c r="Z20" s="7"/>
      <c r="AA20" s="7"/>
      <c r="AB20" s="5"/>
      <c r="AC20" s="634">
        <f t="shared" si="6"/>
        <v>8</v>
      </c>
      <c r="AD20" s="635"/>
      <c r="AE20" s="635"/>
      <c r="AF20" s="636"/>
      <c r="AG20" s="637">
        <v>8.0</v>
      </c>
      <c r="AH20" s="350"/>
      <c r="AI20" s="350"/>
      <c r="AJ20" s="350"/>
      <c r="AK20" s="629"/>
      <c r="AL20" s="629"/>
      <c r="AM20" s="629"/>
      <c r="AN20" s="629"/>
      <c r="AO20" s="629"/>
      <c r="AP20" s="629"/>
      <c r="AQ20" s="629"/>
      <c r="AR20" s="629"/>
      <c r="AS20" s="629"/>
      <c r="AT20" s="629"/>
      <c r="AU20" s="629"/>
      <c r="AV20" s="629"/>
      <c r="AW20" s="629"/>
      <c r="AX20" s="629"/>
      <c r="AY20" s="350"/>
      <c r="AZ20" s="350"/>
      <c r="BA20" s="350"/>
      <c r="BB20" s="350"/>
      <c r="BC20" s="350"/>
      <c r="BD20" s="350"/>
      <c r="BE20" s="350"/>
      <c r="BF20" s="350"/>
      <c r="BG20" s="350"/>
      <c r="BH20" s="350"/>
      <c r="BI20" s="350"/>
      <c r="BJ20" s="350"/>
      <c r="BK20" s="350"/>
      <c r="BL20" s="350"/>
      <c r="BM20" s="350"/>
      <c r="BN20" s="350"/>
      <c r="BO20" s="350"/>
      <c r="BP20" s="350"/>
      <c r="BQ20" s="350"/>
      <c r="BR20" s="350"/>
      <c r="BS20" s="350"/>
      <c r="BT20" s="350"/>
      <c r="BU20" s="350"/>
      <c r="BV20" s="350"/>
      <c r="BW20" s="350"/>
      <c r="BX20" s="350"/>
      <c r="BY20" s="350"/>
    </row>
    <row r="21">
      <c r="A21" s="630" t="s">
        <v>366</v>
      </c>
      <c r="B21" s="7"/>
      <c r="C21" s="7"/>
      <c r="D21" s="7"/>
      <c r="E21" s="7"/>
      <c r="F21" s="5"/>
      <c r="G21" s="630" t="s">
        <v>367</v>
      </c>
      <c r="H21" s="7"/>
      <c r="I21" s="7"/>
      <c r="J21" s="7"/>
      <c r="K21" s="7"/>
      <c r="L21" s="5"/>
      <c r="M21" s="631" t="s">
        <v>80</v>
      </c>
      <c r="N21" s="7"/>
      <c r="O21" s="7"/>
      <c r="P21" s="5"/>
      <c r="Q21" s="632" t="s">
        <v>155</v>
      </c>
      <c r="R21" s="7"/>
      <c r="S21" s="7"/>
      <c r="T21" s="5"/>
      <c r="U21" s="645"/>
      <c r="V21" s="7"/>
      <c r="W21" s="7"/>
      <c r="X21" s="5"/>
      <c r="Y21" s="639">
        <v>3.0</v>
      </c>
      <c r="Z21" s="7"/>
      <c r="AA21" s="7"/>
      <c r="AB21" s="5"/>
      <c r="AC21" s="634">
        <f>+3</f>
        <v>3</v>
      </c>
      <c r="AD21" s="640"/>
      <c r="AE21" s="640"/>
      <c r="AF21" s="641"/>
      <c r="AG21" s="637">
        <v>0.0</v>
      </c>
      <c r="AH21" s="350"/>
      <c r="AI21" s="350"/>
      <c r="AJ21" s="350"/>
      <c r="AK21" s="629"/>
      <c r="AL21" s="629"/>
      <c r="AM21" s="629"/>
      <c r="AN21" s="629"/>
      <c r="AO21" s="629"/>
      <c r="AP21" s="629"/>
      <c r="AQ21" s="629"/>
      <c r="AR21" s="629"/>
      <c r="AS21" s="629"/>
      <c r="AT21" s="629"/>
      <c r="AU21" s="629"/>
      <c r="AV21" s="629"/>
      <c r="AW21" s="629"/>
      <c r="AX21" s="629"/>
      <c r="AY21" s="350"/>
      <c r="AZ21" s="350"/>
      <c r="BA21" s="350"/>
      <c r="BB21" s="350"/>
      <c r="BC21" s="350"/>
      <c r="BD21" s="350"/>
      <c r="BE21" s="350"/>
      <c r="BF21" s="350"/>
      <c r="BG21" s="350"/>
      <c r="BH21" s="350"/>
      <c r="BI21" s="350"/>
      <c r="BJ21" s="350"/>
      <c r="BK21" s="350"/>
      <c r="BL21" s="350"/>
      <c r="BM21" s="350"/>
      <c r="BN21" s="350"/>
      <c r="BO21" s="350"/>
      <c r="BP21" s="350"/>
      <c r="BQ21" s="350"/>
      <c r="BR21" s="350"/>
      <c r="BS21" s="350"/>
      <c r="BT21" s="350"/>
      <c r="BU21" s="350"/>
      <c r="BV21" s="350"/>
      <c r="BW21" s="350"/>
      <c r="BX21" s="350"/>
      <c r="BY21" s="350"/>
    </row>
    <row r="22">
      <c r="A22" s="630" t="s">
        <v>368</v>
      </c>
      <c r="B22" s="7"/>
      <c r="C22" s="7"/>
      <c r="D22" s="7"/>
      <c r="E22" s="7"/>
      <c r="F22" s="5"/>
      <c r="G22" s="630" t="s">
        <v>367</v>
      </c>
      <c r="H22" s="7"/>
      <c r="I22" s="7"/>
      <c r="J22" s="7"/>
      <c r="K22" s="7"/>
      <c r="L22" s="5"/>
      <c r="M22" s="631" t="s">
        <v>80</v>
      </c>
      <c r="N22" s="7"/>
      <c r="O22" s="7"/>
      <c r="P22" s="5"/>
      <c r="Q22" s="632" t="s">
        <v>155</v>
      </c>
      <c r="R22" s="7"/>
      <c r="S22" s="7"/>
      <c r="T22" s="5"/>
      <c r="U22" s="645"/>
      <c r="V22" s="7"/>
      <c r="W22" s="7"/>
      <c r="X22" s="5"/>
      <c r="Y22" s="639">
        <v>4.0</v>
      </c>
      <c r="Z22" s="643"/>
      <c r="AA22" s="643"/>
      <c r="AB22" s="644"/>
      <c r="AC22" s="634">
        <f>+4</f>
        <v>4</v>
      </c>
      <c r="AD22" s="640"/>
      <c r="AE22" s="640"/>
      <c r="AF22" s="641"/>
      <c r="AG22" s="637">
        <v>0.0</v>
      </c>
      <c r="AH22" s="350"/>
      <c r="AI22" s="350"/>
      <c r="AJ22" s="350"/>
      <c r="AK22" s="629"/>
      <c r="AL22" s="629"/>
      <c r="AM22" s="629"/>
      <c r="AN22" s="629"/>
      <c r="AO22" s="629"/>
      <c r="AP22" s="629"/>
      <c r="AQ22" s="629"/>
      <c r="AR22" s="629"/>
      <c r="AS22" s="629"/>
      <c r="AT22" s="629"/>
      <c r="AU22" s="629"/>
      <c r="AV22" s="629"/>
      <c r="AW22" s="629"/>
      <c r="AX22" s="629"/>
      <c r="AY22" s="350"/>
      <c r="AZ22" s="350"/>
      <c r="BA22" s="350"/>
      <c r="BB22" s="350"/>
      <c r="BC22" s="350"/>
      <c r="BD22" s="350"/>
      <c r="BE22" s="350"/>
      <c r="BF22" s="350"/>
      <c r="BG22" s="350"/>
      <c r="BH22" s="350"/>
      <c r="BI22" s="350"/>
      <c r="BJ22" s="350"/>
      <c r="BK22" s="350"/>
      <c r="BL22" s="350"/>
      <c r="BM22" s="350"/>
      <c r="BN22" s="350"/>
      <c r="BO22" s="350"/>
      <c r="BP22" s="350"/>
      <c r="BQ22" s="350"/>
      <c r="BR22" s="350"/>
      <c r="BS22" s="350"/>
      <c r="BT22" s="350"/>
      <c r="BU22" s="350"/>
      <c r="BV22" s="350"/>
      <c r="BW22" s="350"/>
      <c r="BX22" s="350"/>
      <c r="BY22" s="350"/>
    </row>
    <row r="23">
      <c r="A23" s="630" t="s">
        <v>369</v>
      </c>
      <c r="B23" s="7"/>
      <c r="C23" s="7"/>
      <c r="D23" s="7"/>
      <c r="E23" s="7"/>
      <c r="F23" s="5"/>
      <c r="G23" s="630" t="s">
        <v>367</v>
      </c>
      <c r="H23" s="7"/>
      <c r="I23" s="7"/>
      <c r="J23" s="7"/>
      <c r="K23" s="7"/>
      <c r="L23" s="5"/>
      <c r="M23" s="631" t="s">
        <v>80</v>
      </c>
      <c r="N23" s="7"/>
      <c r="O23" s="7"/>
      <c r="P23" s="5"/>
      <c r="Q23" s="632" t="s">
        <v>155</v>
      </c>
      <c r="R23" s="7"/>
      <c r="S23" s="7"/>
      <c r="T23" s="5"/>
      <c r="U23" s="645"/>
      <c r="V23" s="7"/>
      <c r="W23" s="7"/>
      <c r="X23" s="5"/>
      <c r="Y23" s="639">
        <v>5.0</v>
      </c>
      <c r="Z23" s="643"/>
      <c r="AA23" s="643"/>
      <c r="AB23" s="644"/>
      <c r="AC23" s="634">
        <f>+5</f>
        <v>5</v>
      </c>
      <c r="AD23" s="640"/>
      <c r="AE23" s="640"/>
      <c r="AF23" s="641"/>
      <c r="AG23" s="637">
        <v>0.0</v>
      </c>
      <c r="AH23" s="350"/>
      <c r="AI23" s="350"/>
      <c r="AJ23" s="350"/>
      <c r="AK23" s="350"/>
      <c r="AL23" s="350"/>
      <c r="AM23" s="350"/>
      <c r="AN23" s="350"/>
      <c r="AO23" s="350"/>
      <c r="AP23" s="350"/>
      <c r="AQ23" s="350"/>
      <c r="AR23" s="350"/>
      <c r="AS23" s="350"/>
      <c r="AT23" s="350"/>
      <c r="AU23" s="350"/>
      <c r="AV23" s="350"/>
      <c r="AW23" s="350"/>
      <c r="AX23" s="350"/>
      <c r="AY23" s="350"/>
      <c r="AZ23" s="350"/>
      <c r="BA23" s="350"/>
      <c r="BB23" s="350"/>
      <c r="BC23" s="350"/>
      <c r="BD23" s="350"/>
      <c r="BE23" s="350"/>
      <c r="BF23" s="350"/>
      <c r="BG23" s="350"/>
      <c r="BH23" s="350"/>
      <c r="BI23" s="350"/>
      <c r="BJ23" s="350"/>
      <c r="BK23" s="350"/>
      <c r="BL23" s="350"/>
      <c r="BM23" s="350"/>
      <c r="BN23" s="350"/>
      <c r="BO23" s="350"/>
      <c r="BP23" s="350"/>
      <c r="BQ23" s="350"/>
      <c r="BR23" s="350"/>
      <c r="BS23" s="350"/>
      <c r="BT23" s="350"/>
      <c r="BU23" s="350"/>
      <c r="BV23" s="350"/>
      <c r="BW23" s="350"/>
      <c r="BX23" s="350"/>
      <c r="BY23" s="350"/>
    </row>
    <row r="24">
      <c r="A24" s="630" t="s">
        <v>370</v>
      </c>
      <c r="B24" s="7"/>
      <c r="C24" s="7"/>
      <c r="D24" s="7"/>
      <c r="E24" s="7"/>
      <c r="F24" s="5"/>
      <c r="G24" s="630" t="s">
        <v>367</v>
      </c>
      <c r="H24" s="7"/>
      <c r="I24" s="7"/>
      <c r="J24" s="7"/>
      <c r="K24" s="7"/>
      <c r="L24" s="5"/>
      <c r="M24" s="631" t="s">
        <v>80</v>
      </c>
      <c r="N24" s="7"/>
      <c r="O24" s="7"/>
      <c r="P24" s="5"/>
      <c r="Q24" s="631" t="s">
        <v>371</v>
      </c>
      <c r="R24" s="7"/>
      <c r="S24" s="7"/>
      <c r="T24" s="5"/>
      <c r="U24" s="645"/>
      <c r="V24" s="7"/>
      <c r="W24" s="7"/>
      <c r="X24" s="5"/>
      <c r="Y24" s="639">
        <v>3.0</v>
      </c>
      <c r="Z24" s="7"/>
      <c r="AA24" s="7"/>
      <c r="AB24" s="5"/>
      <c r="AC24" s="634">
        <f>+6</f>
        <v>6</v>
      </c>
      <c r="AD24" s="640"/>
      <c r="AE24" s="640"/>
      <c r="AF24" s="641"/>
      <c r="AG24" s="637">
        <v>0.0</v>
      </c>
      <c r="AH24" s="350"/>
      <c r="AI24" s="350"/>
      <c r="AJ24" s="350"/>
      <c r="AK24" s="350"/>
      <c r="AL24" s="350"/>
      <c r="AM24" s="350"/>
      <c r="AN24" s="350"/>
      <c r="AO24" s="350"/>
      <c r="AP24" s="350"/>
      <c r="AQ24" s="350"/>
      <c r="AR24" s="350"/>
      <c r="AS24" s="350"/>
      <c r="AT24" s="350"/>
      <c r="AU24" s="350"/>
      <c r="AV24" s="350"/>
      <c r="AW24" s="350"/>
      <c r="AX24" s="350"/>
      <c r="AY24" s="350"/>
      <c r="AZ24" s="350"/>
      <c r="BA24" s="350"/>
      <c r="BB24" s="350"/>
      <c r="BC24" s="350"/>
      <c r="BD24" s="350"/>
      <c r="BE24" s="350"/>
      <c r="BF24" s="350"/>
      <c r="BG24" s="350"/>
      <c r="BH24" s="350"/>
      <c r="BI24" s="350"/>
      <c r="BJ24" s="350"/>
      <c r="BK24" s="350"/>
      <c r="BL24" s="350"/>
      <c r="BM24" s="350"/>
      <c r="BN24" s="350"/>
      <c r="BO24" s="350"/>
      <c r="BP24" s="350"/>
      <c r="BQ24" s="350"/>
      <c r="BR24" s="350"/>
      <c r="BS24" s="350"/>
      <c r="BT24" s="350"/>
      <c r="BU24" s="350"/>
      <c r="BV24" s="350"/>
      <c r="BW24" s="350"/>
      <c r="BX24" s="350"/>
      <c r="BY24" s="350"/>
    </row>
    <row r="25">
      <c r="A25" s="630" t="s">
        <v>372</v>
      </c>
      <c r="B25" s="7"/>
      <c r="C25" s="7"/>
      <c r="D25" s="7"/>
      <c r="E25" s="7"/>
      <c r="F25" s="5"/>
      <c r="G25" s="630" t="s">
        <v>367</v>
      </c>
      <c r="H25" s="7"/>
      <c r="I25" s="7"/>
      <c r="J25" s="7"/>
      <c r="K25" s="7"/>
      <c r="L25" s="5"/>
      <c r="M25" s="631" t="s">
        <v>80</v>
      </c>
      <c r="N25" s="7"/>
      <c r="O25" s="7"/>
      <c r="P25" s="5"/>
      <c r="Q25" s="631" t="s">
        <v>371</v>
      </c>
      <c r="R25" s="7"/>
      <c r="S25" s="7"/>
      <c r="T25" s="5"/>
      <c r="U25" s="645"/>
      <c r="V25" s="7"/>
      <c r="W25" s="7"/>
      <c r="X25" s="5"/>
      <c r="Y25" s="639">
        <v>4.0</v>
      </c>
      <c r="Z25" s="643"/>
      <c r="AA25" s="643"/>
      <c r="AB25" s="644"/>
      <c r="AC25" s="634">
        <f>+7</f>
        <v>7</v>
      </c>
      <c r="AD25" s="640"/>
      <c r="AE25" s="640"/>
      <c r="AF25" s="641"/>
      <c r="AG25" s="637">
        <v>0.0</v>
      </c>
      <c r="AH25" s="350"/>
      <c r="AI25" s="350"/>
      <c r="AJ25" s="350"/>
      <c r="AK25" s="646"/>
      <c r="AL25" s="646"/>
      <c r="AM25" s="646"/>
      <c r="AN25" s="646"/>
      <c r="AO25" s="646"/>
      <c r="AP25" s="646"/>
      <c r="AQ25" s="646"/>
      <c r="AR25" s="646"/>
      <c r="AS25" s="646"/>
      <c r="AT25" s="646"/>
      <c r="AU25" s="646"/>
      <c r="AV25" s="646"/>
      <c r="AW25" s="646"/>
      <c r="AX25" s="646"/>
      <c r="AY25" s="646"/>
      <c r="AZ25" s="646"/>
      <c r="BA25" s="350"/>
      <c r="BB25" s="350"/>
      <c r="BC25" s="350"/>
      <c r="BD25" s="350"/>
      <c r="BE25" s="350"/>
      <c r="BF25" s="350"/>
      <c r="BG25" s="350"/>
      <c r="BH25" s="350"/>
      <c r="BI25" s="350"/>
      <c r="BJ25" s="350"/>
      <c r="BK25" s="350"/>
      <c r="BL25" s="350"/>
      <c r="BM25" s="350"/>
      <c r="BN25" s="350"/>
      <c r="BO25" s="350"/>
      <c r="BP25" s="350"/>
      <c r="BQ25" s="350"/>
      <c r="BR25" s="350"/>
      <c r="BS25" s="350"/>
      <c r="BT25" s="350"/>
      <c r="BU25" s="350"/>
      <c r="BV25" s="350"/>
      <c r="BW25" s="350"/>
      <c r="BX25" s="350"/>
      <c r="BY25" s="350"/>
    </row>
    <row r="26">
      <c r="A26" s="630" t="s">
        <v>373</v>
      </c>
      <c r="B26" s="7"/>
      <c r="C26" s="7"/>
      <c r="D26" s="7"/>
      <c r="E26" s="7"/>
      <c r="F26" s="5"/>
      <c r="G26" s="630" t="s">
        <v>367</v>
      </c>
      <c r="H26" s="7"/>
      <c r="I26" s="7"/>
      <c r="J26" s="7"/>
      <c r="K26" s="7"/>
      <c r="L26" s="5"/>
      <c r="M26" s="631" t="s">
        <v>80</v>
      </c>
      <c r="N26" s="7"/>
      <c r="O26" s="7"/>
      <c r="P26" s="5"/>
      <c r="Q26" s="631" t="s">
        <v>371</v>
      </c>
      <c r="R26" s="7"/>
      <c r="S26" s="7"/>
      <c r="T26" s="5"/>
      <c r="U26" s="645"/>
      <c r="V26" s="7"/>
      <c r="W26" s="7"/>
      <c r="X26" s="5"/>
      <c r="Y26" s="639">
        <v>5.0</v>
      </c>
      <c r="Z26" s="643"/>
      <c r="AA26" s="643"/>
      <c r="AB26" s="644"/>
      <c r="AC26" s="634">
        <f>+8</f>
        <v>8</v>
      </c>
      <c r="AD26" s="635"/>
      <c r="AE26" s="635"/>
      <c r="AF26" s="636"/>
      <c r="AG26" s="637">
        <v>0.0</v>
      </c>
      <c r="AH26" s="350"/>
      <c r="AI26" s="350"/>
      <c r="AJ26" s="350"/>
      <c r="AK26" s="350"/>
      <c r="AL26" s="350"/>
      <c r="AM26" s="350"/>
      <c r="AN26" s="350"/>
      <c r="AO26" s="350"/>
      <c r="AP26" s="350"/>
      <c r="AQ26" s="350"/>
      <c r="AR26" s="350"/>
      <c r="AS26" s="350"/>
      <c r="AT26" s="350"/>
      <c r="AU26" s="350"/>
      <c r="AV26" s="350"/>
      <c r="AW26" s="350"/>
      <c r="AX26" s="350"/>
      <c r="AY26" s="350"/>
      <c r="AZ26" s="350"/>
      <c r="BA26" s="350"/>
      <c r="BB26" s="350"/>
      <c r="BC26" s="350"/>
      <c r="BD26" s="350"/>
      <c r="BE26" s="350"/>
      <c r="BF26" s="350"/>
      <c r="BG26" s="350"/>
      <c r="BH26" s="350"/>
      <c r="BI26" s="350"/>
      <c r="BJ26" s="350"/>
      <c r="BK26" s="350"/>
      <c r="BL26" s="350"/>
      <c r="BM26" s="350"/>
      <c r="BN26" s="350"/>
      <c r="BO26" s="350"/>
      <c r="BP26" s="350"/>
      <c r="BQ26" s="350"/>
      <c r="BR26" s="350"/>
      <c r="BS26" s="350"/>
      <c r="BT26" s="350"/>
      <c r="BU26" s="350"/>
      <c r="BV26" s="350"/>
      <c r="BW26" s="350"/>
      <c r="BX26" s="350"/>
      <c r="BY26" s="350"/>
    </row>
    <row r="27">
      <c r="A27" s="630" t="s">
        <v>374</v>
      </c>
      <c r="B27" s="7"/>
      <c r="C27" s="7"/>
      <c r="D27" s="7"/>
      <c r="E27" s="7"/>
      <c r="F27" s="5"/>
      <c r="G27" s="630" t="s">
        <v>375</v>
      </c>
      <c r="H27" s="7"/>
      <c r="I27" s="7"/>
      <c r="J27" s="7"/>
      <c r="K27" s="7"/>
      <c r="L27" s="5"/>
      <c r="M27" s="631" t="s">
        <v>52</v>
      </c>
      <c r="N27" s="7"/>
      <c r="O27" s="7"/>
      <c r="P27" s="5"/>
      <c r="Q27" s="631" t="s">
        <v>80</v>
      </c>
      <c r="R27" s="7"/>
      <c r="S27" s="7"/>
      <c r="T27" s="5"/>
      <c r="U27" s="645"/>
      <c r="V27" s="7"/>
      <c r="W27" s="7"/>
      <c r="X27" s="5"/>
      <c r="Y27" s="634">
        <v>0.0</v>
      </c>
      <c r="Z27" s="7"/>
      <c r="AA27" s="7"/>
      <c r="AB27" s="5"/>
      <c r="AC27" s="634">
        <v>0.0</v>
      </c>
      <c r="AD27" s="640"/>
      <c r="AE27" s="640"/>
      <c r="AF27" s="641"/>
      <c r="AG27" s="637">
        <v>0.0</v>
      </c>
      <c r="AH27" s="350"/>
      <c r="AI27" s="350"/>
      <c r="AJ27" s="350"/>
      <c r="AK27" s="350"/>
      <c r="AL27" s="350"/>
      <c r="AM27" s="350"/>
      <c r="AN27" s="350"/>
      <c r="AO27" s="350"/>
      <c r="AP27" s="350"/>
      <c r="AQ27" s="350"/>
      <c r="AR27" s="350"/>
      <c r="AS27" s="350"/>
      <c r="AT27" s="350"/>
      <c r="AU27" s="350"/>
      <c r="AV27" s="350"/>
      <c r="AW27" s="350"/>
      <c r="AX27" s="350"/>
      <c r="AY27" s="350"/>
      <c r="AZ27" s="350"/>
      <c r="BA27" s="350"/>
      <c r="BB27" s="350"/>
      <c r="BC27" s="350"/>
      <c r="BD27" s="350"/>
      <c r="BE27" s="350"/>
      <c r="BF27" s="350"/>
      <c r="BG27" s="350"/>
      <c r="BH27" s="350"/>
      <c r="BI27" s="350"/>
      <c r="BJ27" s="350"/>
      <c r="BK27" s="350"/>
      <c r="BL27" s="350"/>
      <c r="BM27" s="350"/>
      <c r="BN27" s="350"/>
      <c r="BO27" s="350"/>
      <c r="BP27" s="350"/>
      <c r="BQ27" s="350"/>
      <c r="BR27" s="350"/>
      <c r="BS27" s="350"/>
      <c r="BT27" s="350"/>
      <c r="BU27" s="350"/>
      <c r="BV27" s="350"/>
      <c r="BW27" s="350"/>
      <c r="BX27" s="350"/>
      <c r="BY27" s="350"/>
    </row>
    <row r="28">
      <c r="A28" s="630" t="s">
        <v>376</v>
      </c>
      <c r="B28" s="7"/>
      <c r="C28" s="7"/>
      <c r="D28" s="7"/>
      <c r="E28" s="7"/>
      <c r="F28" s="5"/>
      <c r="G28" s="630" t="s">
        <v>347</v>
      </c>
      <c r="H28" s="7"/>
      <c r="I28" s="7"/>
      <c r="J28" s="7"/>
      <c r="K28" s="7"/>
      <c r="L28" s="5"/>
      <c r="M28" s="631" t="s">
        <v>52</v>
      </c>
      <c r="N28" s="7"/>
      <c r="O28" s="7"/>
      <c r="P28" s="5"/>
      <c r="Q28" s="632" t="s">
        <v>155</v>
      </c>
      <c r="R28" s="7"/>
      <c r="S28" s="7"/>
      <c r="T28" s="5"/>
      <c r="U28" s="645"/>
      <c r="V28" s="7"/>
      <c r="W28" s="7"/>
      <c r="X28" s="5"/>
      <c r="Y28" s="639">
        <v>3.0</v>
      </c>
      <c r="Z28" s="7"/>
      <c r="AA28" s="7"/>
      <c r="AB28" s="5"/>
      <c r="AC28" s="634">
        <f>+3</f>
        <v>3</v>
      </c>
      <c r="AD28" s="640"/>
      <c r="AE28" s="640"/>
      <c r="AF28" s="641"/>
      <c r="AG28" s="637">
        <v>3.0</v>
      </c>
      <c r="AH28" s="350"/>
      <c r="AI28" s="350"/>
      <c r="AJ28" s="350"/>
      <c r="AK28" s="350"/>
      <c r="AL28" s="350"/>
      <c r="AM28" s="350"/>
      <c r="AN28" s="350"/>
      <c r="AO28" s="350"/>
      <c r="AP28" s="350"/>
      <c r="AQ28" s="350"/>
      <c r="AR28" s="350"/>
      <c r="AS28" s="350"/>
      <c r="AT28" s="350"/>
      <c r="AU28" s="350"/>
      <c r="AV28" s="350"/>
      <c r="AW28" s="350"/>
      <c r="AX28" s="350"/>
      <c r="AY28" s="350"/>
      <c r="AZ28" s="350"/>
      <c r="BA28" s="350"/>
      <c r="BB28" s="350"/>
      <c r="BC28" s="350"/>
      <c r="BD28" s="350"/>
      <c r="BE28" s="350"/>
      <c r="BF28" s="350"/>
      <c r="BG28" s="350"/>
      <c r="BH28" s="350"/>
      <c r="BI28" s="350"/>
      <c r="BJ28" s="350"/>
      <c r="BK28" s="350"/>
      <c r="BL28" s="350"/>
      <c r="BM28" s="350"/>
      <c r="BN28" s="350"/>
      <c r="BO28" s="350"/>
      <c r="BP28" s="350"/>
      <c r="BQ28" s="350"/>
      <c r="BR28" s="350"/>
      <c r="BS28" s="350"/>
      <c r="BT28" s="350"/>
      <c r="BU28" s="350"/>
      <c r="BV28" s="350"/>
      <c r="BW28" s="350"/>
      <c r="BX28" s="350"/>
      <c r="BY28" s="350"/>
    </row>
    <row r="29">
      <c r="A29" s="630" t="s">
        <v>377</v>
      </c>
      <c r="B29" s="7"/>
      <c r="C29" s="7"/>
      <c r="D29" s="7"/>
      <c r="E29" s="7"/>
      <c r="F29" s="5"/>
      <c r="G29" s="630" t="s">
        <v>354</v>
      </c>
      <c r="H29" s="7"/>
      <c r="I29" s="7"/>
      <c r="J29" s="7"/>
      <c r="K29" s="7"/>
      <c r="L29" s="5"/>
      <c r="M29" s="631" t="s">
        <v>52</v>
      </c>
      <c r="N29" s="7"/>
      <c r="O29" s="7"/>
      <c r="P29" s="5"/>
      <c r="Q29" s="632" t="s">
        <v>155</v>
      </c>
      <c r="R29" s="7"/>
      <c r="S29" s="7"/>
      <c r="T29" s="5"/>
      <c r="U29" s="638">
        <v>2.0</v>
      </c>
      <c r="V29" s="7"/>
      <c r="W29" s="7"/>
      <c r="X29" s="5"/>
      <c r="Y29" s="639">
        <v>5.0</v>
      </c>
      <c r="Z29" s="643"/>
      <c r="AA29" s="643"/>
      <c r="AB29" s="644"/>
      <c r="AC29" s="634">
        <f>+5</f>
        <v>5</v>
      </c>
      <c r="AD29" s="640"/>
      <c r="AE29" s="640"/>
      <c r="AF29" s="641"/>
      <c r="AG29" s="637">
        <v>6.0</v>
      </c>
      <c r="AH29" s="350"/>
      <c r="AI29" s="350"/>
      <c r="AJ29" s="350"/>
      <c r="AK29" s="350"/>
      <c r="AL29" s="350"/>
      <c r="AM29" s="350"/>
      <c r="AN29" s="350"/>
      <c r="AO29" s="350"/>
      <c r="AP29" s="350"/>
      <c r="AQ29" s="350"/>
      <c r="AR29" s="350"/>
      <c r="AS29" s="350"/>
      <c r="AT29" s="350"/>
      <c r="AU29" s="350"/>
      <c r="AV29" s="350"/>
      <c r="AW29" s="350"/>
      <c r="AX29" s="350"/>
      <c r="AY29" s="350"/>
      <c r="AZ29" s="350"/>
      <c r="BA29" s="350"/>
      <c r="BB29" s="350"/>
      <c r="BC29" s="350"/>
      <c r="BD29" s="350"/>
      <c r="BE29" s="350"/>
      <c r="BF29" s="350"/>
      <c r="BG29" s="350"/>
      <c r="BH29" s="350"/>
      <c r="BI29" s="350"/>
      <c r="BJ29" s="350"/>
      <c r="BK29" s="350"/>
      <c r="BL29" s="350"/>
      <c r="BM29" s="350"/>
      <c r="BN29" s="350"/>
      <c r="BO29" s="350"/>
      <c r="BP29" s="350"/>
      <c r="BQ29" s="350"/>
      <c r="BR29" s="350"/>
      <c r="BS29" s="350"/>
      <c r="BT29" s="350"/>
      <c r="BU29" s="350"/>
      <c r="BV29" s="350"/>
      <c r="BW29" s="350"/>
      <c r="BX29" s="350"/>
      <c r="BY29" s="350"/>
    </row>
    <row r="30">
      <c r="A30" s="630" t="s">
        <v>378</v>
      </c>
      <c r="B30" s="7"/>
      <c r="C30" s="7"/>
      <c r="D30" s="7"/>
      <c r="E30" s="7"/>
      <c r="F30" s="5"/>
      <c r="G30" s="630" t="s">
        <v>360</v>
      </c>
      <c r="H30" s="7"/>
      <c r="I30" s="7"/>
      <c r="J30" s="7"/>
      <c r="K30" s="7"/>
      <c r="L30" s="5"/>
      <c r="M30" s="632" t="s">
        <v>155</v>
      </c>
      <c r="N30" s="7"/>
      <c r="O30" s="7"/>
      <c r="P30" s="5"/>
      <c r="Q30" s="632" t="s">
        <v>155</v>
      </c>
      <c r="R30" s="7"/>
      <c r="S30" s="7"/>
      <c r="T30" s="5"/>
      <c r="U30" s="638">
        <v>0.0</v>
      </c>
      <c r="V30" s="7"/>
      <c r="W30" s="7"/>
      <c r="X30" s="5"/>
      <c r="Y30" s="647">
        <v>8.0</v>
      </c>
      <c r="Z30" s="648"/>
      <c r="AA30" s="648"/>
      <c r="AB30" s="649"/>
      <c r="AC30" s="634">
        <f>+8</f>
        <v>8</v>
      </c>
      <c r="AD30" s="7"/>
      <c r="AE30" s="7"/>
      <c r="AF30" s="5"/>
      <c r="AG30" s="637">
        <v>8.0</v>
      </c>
      <c r="AH30" s="350"/>
      <c r="AI30" s="350"/>
      <c r="AJ30" s="350"/>
      <c r="AK30" s="350"/>
      <c r="AL30" s="350"/>
      <c r="AM30" s="350"/>
      <c r="AN30" s="350"/>
      <c r="AO30" s="350"/>
      <c r="AP30" s="350"/>
      <c r="AQ30" s="350"/>
      <c r="AR30" s="350"/>
      <c r="AS30" s="350"/>
      <c r="AT30" s="350"/>
      <c r="AU30" s="350"/>
      <c r="AV30" s="350"/>
      <c r="AW30" s="350"/>
      <c r="AX30" s="350"/>
      <c r="AY30" s="350"/>
      <c r="AZ30" s="350"/>
      <c r="BA30" s="350"/>
      <c r="BB30" s="350"/>
      <c r="BC30" s="350"/>
      <c r="BD30" s="350"/>
      <c r="BE30" s="350"/>
      <c r="BF30" s="350"/>
      <c r="BG30" s="350"/>
      <c r="BH30" s="350"/>
      <c r="BI30" s="350"/>
      <c r="BJ30" s="350"/>
      <c r="BK30" s="350"/>
      <c r="BL30" s="350"/>
      <c r="BM30" s="350"/>
      <c r="BN30" s="350"/>
      <c r="BO30" s="350"/>
      <c r="BP30" s="350"/>
      <c r="BQ30" s="350"/>
      <c r="BR30" s="350"/>
      <c r="BS30" s="350"/>
      <c r="BT30" s="350"/>
      <c r="BU30" s="350"/>
      <c r="BV30" s="350"/>
      <c r="BW30" s="350"/>
      <c r="BX30" s="350"/>
      <c r="BY30" s="350"/>
    </row>
    <row r="31">
      <c r="A31" s="630" t="s">
        <v>379</v>
      </c>
      <c r="B31" s="7"/>
      <c r="C31" s="7"/>
      <c r="D31" s="7"/>
      <c r="E31" s="7"/>
      <c r="F31" s="5"/>
      <c r="G31" s="630" t="s">
        <v>367</v>
      </c>
      <c r="H31" s="7"/>
      <c r="I31" s="7"/>
      <c r="J31" s="7"/>
      <c r="K31" s="7"/>
      <c r="L31" s="5"/>
      <c r="M31" s="631" t="s">
        <v>80</v>
      </c>
      <c r="N31" s="7"/>
      <c r="O31" s="7"/>
      <c r="P31" s="5"/>
      <c r="Q31" s="632" t="s">
        <v>155</v>
      </c>
      <c r="R31" s="7"/>
      <c r="S31" s="7"/>
      <c r="T31" s="5"/>
      <c r="U31" s="645"/>
      <c r="V31" s="7"/>
      <c r="W31" s="7"/>
      <c r="X31" s="5"/>
      <c r="Y31" s="639">
        <v>3.0</v>
      </c>
      <c r="Z31" s="7"/>
      <c r="AA31" s="7"/>
      <c r="AB31" s="5"/>
      <c r="AC31" s="634">
        <f t="shared" ref="AC31:AC33" si="7">+3</f>
        <v>3</v>
      </c>
      <c r="AD31" s="7"/>
      <c r="AE31" s="7"/>
      <c r="AF31" s="5"/>
      <c r="AG31" s="637">
        <v>0.0</v>
      </c>
      <c r="AH31" s="350"/>
      <c r="AI31" s="350"/>
      <c r="AJ31" s="350"/>
      <c r="AK31" s="350"/>
      <c r="AL31" s="350"/>
      <c r="AM31" s="350"/>
      <c r="AN31" s="350"/>
      <c r="AO31" s="350"/>
      <c r="AP31" s="350"/>
      <c r="AQ31" s="350"/>
      <c r="AR31" s="350"/>
      <c r="AS31" s="350"/>
      <c r="AT31" s="350"/>
      <c r="AU31" s="350"/>
      <c r="AV31" s="350"/>
      <c r="AW31" s="350"/>
      <c r="AX31" s="350"/>
      <c r="AY31" s="350"/>
      <c r="AZ31" s="350"/>
      <c r="BA31" s="350"/>
      <c r="BB31" s="350"/>
      <c r="BC31" s="350"/>
      <c r="BD31" s="350"/>
      <c r="BE31" s="350"/>
      <c r="BF31" s="350"/>
      <c r="BG31" s="350"/>
      <c r="BH31" s="350"/>
      <c r="BI31" s="350"/>
      <c r="BJ31" s="350"/>
      <c r="BK31" s="350"/>
      <c r="BL31" s="350"/>
      <c r="BM31" s="350"/>
      <c r="BN31" s="350"/>
      <c r="BO31" s="350"/>
      <c r="BP31" s="350"/>
      <c r="BQ31" s="350"/>
      <c r="BR31" s="350"/>
      <c r="BS31" s="350"/>
      <c r="BT31" s="350"/>
      <c r="BU31" s="350"/>
      <c r="BV31" s="350"/>
      <c r="BW31" s="350"/>
      <c r="BX31" s="350"/>
      <c r="BY31" s="350"/>
    </row>
    <row r="32">
      <c r="A32" s="630" t="s">
        <v>380</v>
      </c>
      <c r="B32" s="7"/>
      <c r="C32" s="7"/>
      <c r="D32" s="7"/>
      <c r="E32" s="7"/>
      <c r="F32" s="5"/>
      <c r="G32" s="630" t="s">
        <v>367</v>
      </c>
      <c r="H32" s="7"/>
      <c r="I32" s="7"/>
      <c r="J32" s="7"/>
      <c r="K32" s="7"/>
      <c r="L32" s="5"/>
      <c r="M32" s="631" t="s">
        <v>65</v>
      </c>
      <c r="N32" s="7"/>
      <c r="O32" s="7"/>
      <c r="P32" s="5"/>
      <c r="Q32" s="632" t="s">
        <v>155</v>
      </c>
      <c r="R32" s="7"/>
      <c r="S32" s="7"/>
      <c r="T32" s="5"/>
      <c r="U32" s="633"/>
      <c r="V32" s="7"/>
      <c r="W32" s="7"/>
      <c r="X32" s="5"/>
      <c r="Y32" s="639">
        <v>3.0</v>
      </c>
      <c r="Z32" s="643"/>
      <c r="AA32" s="643"/>
      <c r="AB32" s="644"/>
      <c r="AC32" s="634">
        <f t="shared" si="7"/>
        <v>3</v>
      </c>
      <c r="AD32" s="7"/>
      <c r="AE32" s="7"/>
      <c r="AF32" s="5"/>
      <c r="AG32" s="637">
        <v>0.0</v>
      </c>
      <c r="AH32" s="350"/>
      <c r="AI32" s="350"/>
      <c r="AJ32" s="350"/>
      <c r="AK32" s="350"/>
      <c r="AL32" s="350"/>
      <c r="AM32" s="350"/>
      <c r="AN32" s="350"/>
      <c r="AO32" s="350"/>
      <c r="AP32" s="350"/>
      <c r="AQ32" s="350"/>
      <c r="AR32" s="350"/>
      <c r="AS32" s="350"/>
      <c r="AT32" s="350"/>
      <c r="AU32" s="350"/>
      <c r="AV32" s="350"/>
      <c r="AW32" s="350"/>
      <c r="AX32" s="350"/>
      <c r="AY32" s="350"/>
      <c r="AZ32" s="350"/>
      <c r="BA32" s="350"/>
      <c r="BB32" s="350"/>
      <c r="BC32" s="350"/>
      <c r="BD32" s="350"/>
      <c r="BE32" s="350"/>
      <c r="BF32" s="350"/>
      <c r="BG32" s="350"/>
      <c r="BH32" s="350"/>
      <c r="BI32" s="350"/>
      <c r="BJ32" s="350"/>
      <c r="BK32" s="350"/>
      <c r="BL32" s="350"/>
      <c r="BM32" s="350"/>
      <c r="BN32" s="350"/>
      <c r="BO32" s="350"/>
      <c r="BP32" s="350"/>
      <c r="BQ32" s="350"/>
      <c r="BR32" s="350"/>
      <c r="BS32" s="350"/>
      <c r="BT32" s="350"/>
      <c r="BU32" s="350"/>
      <c r="BV32" s="350"/>
      <c r="BW32" s="350"/>
      <c r="BX32" s="350"/>
      <c r="BY32" s="350"/>
    </row>
    <row r="33">
      <c r="A33" s="630" t="s">
        <v>381</v>
      </c>
      <c r="B33" s="7"/>
      <c r="C33" s="7"/>
      <c r="D33" s="7"/>
      <c r="E33" s="7"/>
      <c r="F33" s="5"/>
      <c r="G33" s="630" t="s">
        <v>367</v>
      </c>
      <c r="H33" s="7"/>
      <c r="I33" s="7"/>
      <c r="J33" s="7"/>
      <c r="K33" s="7"/>
      <c r="L33" s="5"/>
      <c r="M33" s="631" t="s">
        <v>52</v>
      </c>
      <c r="N33" s="7"/>
      <c r="O33" s="7"/>
      <c r="P33" s="5"/>
      <c r="Q33" s="631" t="s">
        <v>371</v>
      </c>
      <c r="R33" s="7"/>
      <c r="S33" s="7"/>
      <c r="T33" s="5"/>
      <c r="U33" s="645"/>
      <c r="V33" s="7"/>
      <c r="W33" s="7"/>
      <c r="X33" s="5"/>
      <c r="Y33" s="634">
        <v>0.0</v>
      </c>
      <c r="Z33" s="7"/>
      <c r="AA33" s="7"/>
      <c r="AB33" s="5"/>
      <c r="AC33" s="634">
        <f t="shared" si="7"/>
        <v>3</v>
      </c>
      <c r="AD33" s="7"/>
      <c r="AE33" s="7"/>
      <c r="AF33" s="5"/>
      <c r="AG33" s="637">
        <v>0.0</v>
      </c>
      <c r="AH33" s="350"/>
      <c r="AI33" s="350"/>
      <c r="AJ33" s="350"/>
      <c r="AK33" s="350"/>
      <c r="AL33" s="350"/>
      <c r="AM33" s="350"/>
      <c r="AN33" s="350"/>
      <c r="AO33" s="350"/>
      <c r="AP33" s="350"/>
      <c r="AQ33" s="350"/>
      <c r="AR33" s="350"/>
      <c r="AS33" s="350"/>
      <c r="AT33" s="350"/>
      <c r="AU33" s="350"/>
      <c r="AV33" s="350"/>
      <c r="AW33" s="350"/>
      <c r="AX33" s="350"/>
      <c r="AY33" s="350"/>
      <c r="AZ33" s="350"/>
      <c r="BA33" s="350"/>
      <c r="BB33" s="350"/>
      <c r="BC33" s="350"/>
      <c r="BD33" s="350"/>
      <c r="BE33" s="350"/>
      <c r="BF33" s="350"/>
      <c r="BG33" s="350"/>
      <c r="BH33" s="350"/>
      <c r="BI33" s="350"/>
      <c r="BJ33" s="350"/>
      <c r="BK33" s="350"/>
      <c r="BL33" s="350"/>
      <c r="BM33" s="350"/>
      <c r="BN33" s="350"/>
      <c r="BO33" s="350"/>
      <c r="BP33" s="350"/>
      <c r="BQ33" s="350"/>
      <c r="BR33" s="350"/>
      <c r="BS33" s="350"/>
      <c r="BT33" s="350"/>
      <c r="BU33" s="350"/>
      <c r="BV33" s="350"/>
      <c r="BW33" s="350"/>
      <c r="BX33" s="350"/>
      <c r="BY33" s="350"/>
    </row>
    <row r="34">
      <c r="A34" s="630" t="s">
        <v>382</v>
      </c>
      <c r="B34" s="7"/>
      <c r="C34" s="7"/>
      <c r="D34" s="7"/>
      <c r="E34" s="7"/>
      <c r="F34" s="5"/>
      <c r="G34" s="650" t="str">
        <f>=====================</f>
        <v>#ERROR!</v>
      </c>
      <c r="H34" s="7"/>
      <c r="I34" s="7"/>
      <c r="J34" s="7"/>
      <c r="K34" s="7"/>
      <c r="L34" s="5"/>
      <c r="M34" s="631" t="str">
        <f>=============</f>
        <v>#ERROR!</v>
      </c>
      <c r="N34" s="7"/>
      <c r="O34" s="7"/>
      <c r="P34" s="5"/>
      <c r="Q34" s="631" t="str">
        <f>=============</f>
        <v>#ERROR!</v>
      </c>
      <c r="R34" s="7"/>
      <c r="S34" s="7"/>
      <c r="T34" s="5"/>
      <c r="U34" s="633"/>
      <c r="V34" s="651"/>
      <c r="W34" s="651"/>
      <c r="X34" s="652"/>
      <c r="Y34" s="493"/>
      <c r="Z34" s="643"/>
      <c r="AA34" s="643"/>
      <c r="AB34" s="644"/>
      <c r="AC34" s="653"/>
      <c r="AD34" s="640"/>
      <c r="AE34" s="640"/>
      <c r="AF34" s="641"/>
      <c r="AG34" s="637"/>
      <c r="AH34" s="350"/>
      <c r="AI34" s="350"/>
      <c r="AJ34" s="350"/>
      <c r="AK34" s="350"/>
      <c r="AL34" s="350"/>
      <c r="AM34" s="350"/>
      <c r="AN34" s="350"/>
      <c r="AO34" s="350"/>
      <c r="AP34" s="350"/>
      <c r="AQ34" s="350"/>
      <c r="AR34" s="350"/>
      <c r="AS34" s="350"/>
      <c r="AT34" s="350"/>
      <c r="AU34" s="350"/>
      <c r="AV34" s="350"/>
      <c r="AW34" s="350"/>
      <c r="AX34" s="350"/>
      <c r="AY34" s="350"/>
      <c r="AZ34" s="350"/>
      <c r="BA34" s="350"/>
      <c r="BB34" s="350"/>
      <c r="BC34" s="350"/>
      <c r="BD34" s="350"/>
      <c r="BE34" s="350"/>
      <c r="BF34" s="350"/>
      <c r="BG34" s="350"/>
      <c r="BH34" s="350"/>
      <c r="BI34" s="350"/>
      <c r="BJ34" s="350"/>
      <c r="BK34" s="350"/>
      <c r="BL34" s="350"/>
      <c r="BM34" s="350"/>
      <c r="BN34" s="350"/>
      <c r="BO34" s="350"/>
      <c r="BP34" s="350"/>
      <c r="BQ34" s="350"/>
      <c r="BR34" s="350"/>
      <c r="BS34" s="350"/>
      <c r="BT34" s="350"/>
      <c r="BU34" s="350"/>
      <c r="BV34" s="350"/>
      <c r="BW34" s="350"/>
      <c r="BX34" s="350"/>
      <c r="BY34" s="350"/>
    </row>
    <row r="35">
      <c r="A35" s="493"/>
      <c r="B35" s="7"/>
      <c r="C35" s="7"/>
      <c r="D35" s="7"/>
      <c r="E35" s="7"/>
      <c r="F35" s="5"/>
      <c r="G35" s="630" t="s">
        <v>383</v>
      </c>
      <c r="H35" s="7"/>
      <c r="I35" s="7"/>
      <c r="J35" s="7"/>
      <c r="K35" s="7"/>
      <c r="L35" s="5"/>
      <c r="M35" s="645"/>
      <c r="N35" s="7"/>
      <c r="O35" s="7"/>
      <c r="P35" s="5"/>
      <c r="Q35" s="645"/>
      <c r="R35" s="7"/>
      <c r="S35" s="7"/>
      <c r="T35" s="5"/>
      <c r="U35" s="645"/>
      <c r="V35" s="7"/>
      <c r="W35" s="7"/>
      <c r="X35" s="5"/>
      <c r="Y35" s="493"/>
      <c r="Z35" s="7"/>
      <c r="AA35" s="7"/>
      <c r="AB35" s="5"/>
      <c r="AC35" s="653"/>
      <c r="AD35" s="7"/>
      <c r="AE35" s="7"/>
      <c r="AF35" s="5"/>
      <c r="AG35" s="350"/>
      <c r="AH35" s="350"/>
      <c r="AI35" s="350"/>
      <c r="AJ35" s="350"/>
      <c r="AK35" s="350"/>
      <c r="AL35" s="350"/>
      <c r="AM35" s="350"/>
      <c r="AN35" s="350"/>
      <c r="AO35" s="350"/>
      <c r="AP35" s="350"/>
      <c r="AQ35" s="350"/>
      <c r="AR35" s="350"/>
      <c r="AS35" s="350"/>
      <c r="AT35" s="350"/>
      <c r="AU35" s="350"/>
      <c r="AV35" s="350"/>
      <c r="AW35" s="350"/>
      <c r="AX35" s="350"/>
      <c r="AY35" s="350"/>
      <c r="AZ35" s="350"/>
      <c r="BA35" s="350"/>
      <c r="BB35" s="350"/>
      <c r="BC35" s="350"/>
      <c r="BD35" s="350"/>
      <c r="BE35" s="350"/>
      <c r="BF35" s="350"/>
      <c r="BG35" s="350"/>
      <c r="BH35" s="350"/>
      <c r="BI35" s="350"/>
      <c r="BJ35" s="350"/>
      <c r="BK35" s="350"/>
      <c r="BL35" s="350"/>
      <c r="BM35" s="350"/>
      <c r="BN35" s="350"/>
      <c r="BO35" s="350"/>
      <c r="BP35" s="350"/>
      <c r="BQ35" s="350"/>
      <c r="BR35" s="350"/>
      <c r="BS35" s="350"/>
      <c r="BT35" s="350"/>
      <c r="BU35" s="350"/>
      <c r="BV35" s="350"/>
      <c r="BW35" s="350"/>
      <c r="BX35" s="350"/>
      <c r="BY35" s="350"/>
    </row>
    <row r="36">
      <c r="A36" s="493"/>
      <c r="B36" s="7"/>
      <c r="C36" s="7"/>
      <c r="D36" s="7"/>
      <c r="E36" s="7"/>
      <c r="F36" s="5"/>
      <c r="G36" s="630" t="s">
        <v>383</v>
      </c>
      <c r="H36" s="7"/>
      <c r="I36" s="7"/>
      <c r="J36" s="7"/>
      <c r="K36" s="7"/>
      <c r="L36" s="5"/>
      <c r="M36" s="645"/>
      <c r="N36" s="7"/>
      <c r="O36" s="7"/>
      <c r="P36" s="5"/>
      <c r="Q36" s="645"/>
      <c r="R36" s="7"/>
      <c r="S36" s="7"/>
      <c r="T36" s="5"/>
      <c r="U36" s="645"/>
      <c r="V36" s="7"/>
      <c r="W36" s="7"/>
      <c r="X36" s="5"/>
      <c r="Y36" s="493"/>
      <c r="Z36" s="7"/>
      <c r="AA36" s="7"/>
      <c r="AB36" s="5"/>
      <c r="AC36" s="653"/>
      <c r="AD36" s="7"/>
      <c r="AE36" s="7"/>
      <c r="AF36" s="5"/>
      <c r="AG36" s="350"/>
      <c r="AH36" s="350"/>
      <c r="AI36" s="350"/>
      <c r="AJ36" s="350"/>
      <c r="AK36" s="350"/>
      <c r="AL36" s="350"/>
      <c r="AM36" s="350"/>
      <c r="AN36" s="350"/>
      <c r="AO36" s="350"/>
      <c r="AP36" s="350"/>
      <c r="AQ36" s="350"/>
      <c r="AR36" s="350"/>
      <c r="AS36" s="350"/>
      <c r="AT36" s="350"/>
      <c r="AU36" s="350"/>
      <c r="AV36" s="350"/>
      <c r="AW36" s="350"/>
      <c r="AX36" s="350"/>
      <c r="AY36" s="350"/>
      <c r="AZ36" s="350"/>
      <c r="BA36" s="350"/>
      <c r="BB36" s="350"/>
      <c r="BC36" s="350"/>
      <c r="BD36" s="350"/>
      <c r="BE36" s="350"/>
      <c r="BF36" s="350"/>
      <c r="BG36" s="350"/>
      <c r="BH36" s="350"/>
      <c r="BI36" s="350"/>
      <c r="BJ36" s="350"/>
      <c r="BK36" s="350"/>
      <c r="BL36" s="350"/>
      <c r="BM36" s="350"/>
      <c r="BN36" s="350"/>
      <c r="BO36" s="350"/>
      <c r="BP36" s="350"/>
      <c r="BQ36" s="350"/>
      <c r="BR36" s="350"/>
      <c r="BS36" s="350"/>
      <c r="BT36" s="350"/>
      <c r="BU36" s="350"/>
      <c r="BV36" s="350"/>
      <c r="BW36" s="350"/>
      <c r="BX36" s="350"/>
      <c r="BY36" s="350"/>
    </row>
    <row r="37">
      <c r="A37" s="493"/>
      <c r="B37" s="7"/>
      <c r="C37" s="7"/>
      <c r="D37" s="7"/>
      <c r="E37" s="7"/>
      <c r="F37" s="5"/>
      <c r="G37" s="630" t="s">
        <v>383</v>
      </c>
      <c r="H37" s="7"/>
      <c r="I37" s="7"/>
      <c r="J37" s="7"/>
      <c r="K37" s="7"/>
      <c r="L37" s="5"/>
      <c r="M37" s="645"/>
      <c r="N37" s="7"/>
      <c r="O37" s="7"/>
      <c r="P37" s="5"/>
      <c r="Q37" s="645"/>
      <c r="R37" s="7"/>
      <c r="S37" s="7"/>
      <c r="T37" s="5"/>
      <c r="U37" s="645"/>
      <c r="V37" s="7"/>
      <c r="W37" s="7"/>
      <c r="X37" s="5"/>
      <c r="Y37" s="493"/>
      <c r="Z37" s="7"/>
      <c r="AA37" s="7"/>
      <c r="AB37" s="5"/>
      <c r="AC37" s="653"/>
      <c r="AD37" s="7"/>
      <c r="AE37" s="7"/>
      <c r="AF37" s="5"/>
      <c r="AG37" s="350"/>
      <c r="AH37" s="350"/>
      <c r="AI37" s="350"/>
      <c r="AJ37" s="350"/>
      <c r="AK37" s="350"/>
      <c r="AL37" s="350"/>
      <c r="AM37" s="350"/>
      <c r="AN37" s="350"/>
      <c r="AO37" s="350"/>
      <c r="AP37" s="350"/>
      <c r="AQ37" s="350"/>
      <c r="AR37" s="350"/>
      <c r="AS37" s="350"/>
      <c r="AT37" s="350"/>
      <c r="AU37" s="350"/>
      <c r="AV37" s="350"/>
      <c r="AW37" s="350"/>
      <c r="AX37" s="350"/>
      <c r="AY37" s="350"/>
      <c r="AZ37" s="350"/>
      <c r="BA37" s="350"/>
      <c r="BB37" s="350"/>
      <c r="BC37" s="350"/>
      <c r="BD37" s="350"/>
      <c r="BE37" s="350"/>
      <c r="BF37" s="350"/>
      <c r="BG37" s="350"/>
      <c r="BH37" s="350"/>
      <c r="BI37" s="350"/>
      <c r="BJ37" s="350"/>
      <c r="BK37" s="350"/>
      <c r="BL37" s="350"/>
      <c r="BM37" s="350"/>
      <c r="BN37" s="350"/>
      <c r="BO37" s="350"/>
      <c r="BP37" s="350"/>
      <c r="BQ37" s="350"/>
      <c r="BR37" s="350"/>
      <c r="BS37" s="350"/>
      <c r="BT37" s="350"/>
      <c r="BU37" s="350"/>
      <c r="BV37" s="350"/>
      <c r="BW37" s="350"/>
      <c r="BX37" s="350"/>
      <c r="BY37" s="350"/>
    </row>
    <row r="38">
      <c r="A38" s="493"/>
      <c r="B38" s="7"/>
      <c r="C38" s="7"/>
      <c r="D38" s="7"/>
      <c r="E38" s="7"/>
      <c r="F38" s="5"/>
      <c r="G38" s="630" t="s">
        <v>383</v>
      </c>
      <c r="H38" s="7"/>
      <c r="I38" s="7"/>
      <c r="J38" s="7"/>
      <c r="K38" s="7"/>
      <c r="L38" s="5"/>
      <c r="M38" s="645"/>
      <c r="N38" s="7"/>
      <c r="O38" s="7"/>
      <c r="P38" s="5"/>
      <c r="Q38" s="645"/>
      <c r="R38" s="7"/>
      <c r="S38" s="7"/>
      <c r="T38" s="5"/>
      <c r="U38" s="645"/>
      <c r="V38" s="7"/>
      <c r="W38" s="7"/>
      <c r="X38" s="5"/>
      <c r="Y38" s="493"/>
      <c r="Z38" s="7"/>
      <c r="AA38" s="7"/>
      <c r="AB38" s="5"/>
      <c r="AC38" s="653"/>
      <c r="AD38" s="7"/>
      <c r="AE38" s="7"/>
      <c r="AF38" s="5"/>
      <c r="AG38" s="350"/>
      <c r="AH38" s="350"/>
      <c r="AI38" s="350"/>
      <c r="AJ38" s="350"/>
      <c r="AK38" s="350"/>
      <c r="AL38" s="350"/>
      <c r="AM38" s="350"/>
      <c r="AN38" s="350"/>
      <c r="AO38" s="350"/>
      <c r="AP38" s="350"/>
      <c r="AQ38" s="350"/>
      <c r="AR38" s="350"/>
      <c r="AS38" s="350"/>
      <c r="AT38" s="350"/>
      <c r="AU38" s="350"/>
      <c r="AV38" s="350"/>
      <c r="AW38" s="350"/>
      <c r="AX38" s="350"/>
      <c r="AY38" s="350"/>
      <c r="AZ38" s="350"/>
      <c r="BA38" s="350"/>
      <c r="BB38" s="350"/>
      <c r="BC38" s="350"/>
      <c r="BD38" s="350"/>
      <c r="BE38" s="350"/>
      <c r="BF38" s="350"/>
      <c r="BG38" s="350"/>
      <c r="BH38" s="350"/>
      <c r="BI38" s="350"/>
      <c r="BJ38" s="350"/>
      <c r="BK38" s="350"/>
      <c r="BL38" s="350"/>
      <c r="BM38" s="350"/>
      <c r="BN38" s="350"/>
      <c r="BO38" s="350"/>
      <c r="BP38" s="350"/>
      <c r="BQ38" s="350"/>
      <c r="BR38" s="350"/>
      <c r="BS38" s="350"/>
      <c r="BT38" s="350"/>
      <c r="BU38" s="350"/>
      <c r="BV38" s="350"/>
      <c r="BW38" s="350"/>
      <c r="BX38" s="350"/>
      <c r="BY38" s="350"/>
    </row>
    <row r="39">
      <c r="A39" s="493"/>
      <c r="B39" s="7"/>
      <c r="C39" s="7"/>
      <c r="D39" s="7"/>
      <c r="E39" s="7"/>
      <c r="F39" s="5"/>
      <c r="G39" s="630" t="s">
        <v>383</v>
      </c>
      <c r="H39" s="7"/>
      <c r="I39" s="7"/>
      <c r="J39" s="7"/>
      <c r="K39" s="7"/>
      <c r="L39" s="5"/>
      <c r="M39" s="645"/>
      <c r="N39" s="7"/>
      <c r="O39" s="7"/>
      <c r="P39" s="5"/>
      <c r="Q39" s="645"/>
      <c r="R39" s="7"/>
      <c r="S39" s="7"/>
      <c r="T39" s="5"/>
      <c r="U39" s="645"/>
      <c r="V39" s="7"/>
      <c r="W39" s="7"/>
      <c r="X39" s="5"/>
      <c r="Y39" s="493"/>
      <c r="Z39" s="7"/>
      <c r="AA39" s="7"/>
      <c r="AB39" s="5"/>
      <c r="AC39" s="653"/>
      <c r="AD39" s="7"/>
      <c r="AE39" s="7"/>
      <c r="AF39" s="5"/>
      <c r="AG39" s="350"/>
      <c r="AH39" s="350"/>
      <c r="AI39" s="350"/>
      <c r="AJ39" s="350"/>
      <c r="AK39" s="350"/>
      <c r="AL39" s="350"/>
      <c r="AM39" s="350"/>
      <c r="AN39" s="350"/>
      <c r="AO39" s="350"/>
      <c r="AP39" s="350"/>
      <c r="AQ39" s="350"/>
      <c r="AR39" s="350"/>
      <c r="AS39" s="350"/>
      <c r="AT39" s="350"/>
      <c r="AU39" s="350"/>
      <c r="AV39" s="350"/>
      <c r="AW39" s="350"/>
      <c r="AX39" s="350"/>
      <c r="AY39" s="350"/>
      <c r="AZ39" s="350"/>
      <c r="BA39" s="350"/>
      <c r="BB39" s="350"/>
      <c r="BC39" s="350"/>
      <c r="BD39" s="350"/>
      <c r="BE39" s="350"/>
      <c r="BF39" s="350"/>
      <c r="BG39" s="350"/>
      <c r="BH39" s="350"/>
      <c r="BI39" s="350"/>
      <c r="BJ39" s="350"/>
      <c r="BK39" s="350"/>
      <c r="BL39" s="350"/>
      <c r="BM39" s="350"/>
      <c r="BN39" s="350"/>
      <c r="BO39" s="350"/>
      <c r="BP39" s="350"/>
      <c r="BQ39" s="350"/>
      <c r="BR39" s="350"/>
      <c r="BS39" s="350"/>
      <c r="BT39" s="350"/>
      <c r="BU39" s="350"/>
      <c r="BV39" s="350"/>
      <c r="BW39" s="350"/>
      <c r="BX39" s="350"/>
      <c r="BY39" s="350"/>
    </row>
    <row r="40">
      <c r="A40" s="493"/>
      <c r="B40" s="7"/>
      <c r="C40" s="7"/>
      <c r="D40" s="7"/>
      <c r="E40" s="7"/>
      <c r="F40" s="5"/>
      <c r="G40" s="630" t="s">
        <v>383</v>
      </c>
      <c r="H40" s="7"/>
      <c r="I40" s="7"/>
      <c r="J40" s="7"/>
      <c r="K40" s="7"/>
      <c r="L40" s="5"/>
      <c r="M40" s="645"/>
      <c r="N40" s="7"/>
      <c r="O40" s="7"/>
      <c r="P40" s="5"/>
      <c r="Q40" s="645"/>
      <c r="R40" s="7"/>
      <c r="S40" s="7"/>
      <c r="T40" s="5"/>
      <c r="U40" s="645"/>
      <c r="V40" s="7"/>
      <c r="W40" s="7"/>
      <c r="X40" s="5"/>
      <c r="Y40" s="493"/>
      <c r="Z40" s="7"/>
      <c r="AA40" s="7"/>
      <c r="AB40" s="5"/>
      <c r="AC40" s="653"/>
      <c r="AD40" s="7"/>
      <c r="AE40" s="7"/>
      <c r="AF40" s="5"/>
      <c r="AG40" s="350"/>
      <c r="AH40" s="350"/>
      <c r="AI40" s="350"/>
      <c r="AJ40" s="350"/>
      <c r="AK40" s="350"/>
      <c r="AL40" s="350"/>
      <c r="AM40" s="350"/>
      <c r="AN40" s="350"/>
      <c r="AO40" s="350"/>
      <c r="AP40" s="350"/>
      <c r="AQ40" s="350"/>
      <c r="AR40" s="350"/>
      <c r="AS40" s="350"/>
      <c r="AT40" s="350"/>
      <c r="AU40" s="350"/>
      <c r="AV40" s="350"/>
      <c r="AW40" s="350"/>
      <c r="AX40" s="350"/>
      <c r="AY40" s="350"/>
      <c r="AZ40" s="350"/>
      <c r="BA40" s="350"/>
      <c r="BB40" s="350"/>
      <c r="BC40" s="350"/>
      <c r="BD40" s="350"/>
      <c r="BE40" s="350"/>
      <c r="BF40" s="350"/>
      <c r="BG40" s="350"/>
      <c r="BH40" s="350"/>
      <c r="BI40" s="350"/>
      <c r="BJ40" s="350"/>
      <c r="BK40" s="350"/>
      <c r="BL40" s="350"/>
      <c r="BM40" s="350"/>
      <c r="BN40" s="350"/>
      <c r="BO40" s="350"/>
      <c r="BP40" s="350"/>
      <c r="BQ40" s="350"/>
      <c r="BR40" s="350"/>
      <c r="BS40" s="350"/>
      <c r="BT40" s="350"/>
      <c r="BU40" s="350"/>
      <c r="BV40" s="350"/>
      <c r="BW40" s="350"/>
      <c r="BX40" s="350"/>
      <c r="BY40" s="350"/>
    </row>
    <row r="41">
      <c r="A41" s="493"/>
      <c r="B41" s="7"/>
      <c r="C41" s="7"/>
      <c r="D41" s="7"/>
      <c r="E41" s="7"/>
      <c r="F41" s="5"/>
      <c r="G41" s="630" t="s">
        <v>383</v>
      </c>
      <c r="H41" s="7"/>
      <c r="I41" s="7"/>
      <c r="J41" s="7"/>
      <c r="K41" s="7"/>
      <c r="L41" s="5"/>
      <c r="M41" s="645"/>
      <c r="N41" s="7"/>
      <c r="O41" s="7"/>
      <c r="P41" s="5"/>
      <c r="Q41" s="645"/>
      <c r="R41" s="7"/>
      <c r="S41" s="7"/>
      <c r="T41" s="5"/>
      <c r="U41" s="645"/>
      <c r="V41" s="7"/>
      <c r="W41" s="7"/>
      <c r="X41" s="5"/>
      <c r="Y41" s="493"/>
      <c r="Z41" s="7"/>
      <c r="AA41" s="7"/>
      <c r="AB41" s="5"/>
      <c r="AC41" s="653"/>
      <c r="AD41" s="7"/>
      <c r="AE41" s="7"/>
      <c r="AF41" s="5"/>
      <c r="AG41" s="350"/>
      <c r="AH41" s="350"/>
      <c r="AI41" s="350"/>
      <c r="AJ41" s="350"/>
      <c r="AK41" s="350"/>
      <c r="AL41" s="350"/>
      <c r="AM41" s="350"/>
      <c r="AN41" s="350"/>
      <c r="AO41" s="350"/>
      <c r="AP41" s="350"/>
      <c r="AQ41" s="350"/>
      <c r="AR41" s="350"/>
      <c r="AS41" s="350"/>
      <c r="AT41" s="350"/>
      <c r="AU41" s="350"/>
      <c r="AV41" s="350"/>
      <c r="AW41" s="350"/>
      <c r="AX41" s="350"/>
      <c r="AY41" s="350"/>
      <c r="AZ41" s="350"/>
      <c r="BA41" s="350"/>
      <c r="BB41" s="350"/>
      <c r="BC41" s="350"/>
      <c r="BD41" s="350"/>
      <c r="BE41" s="350"/>
      <c r="BF41" s="350"/>
      <c r="BG41" s="350"/>
      <c r="BH41" s="350"/>
      <c r="BI41" s="350"/>
      <c r="BJ41" s="350"/>
      <c r="BK41" s="350"/>
      <c r="BL41" s="350"/>
      <c r="BM41" s="350"/>
      <c r="BN41" s="350"/>
      <c r="BO41" s="350"/>
      <c r="BP41" s="350"/>
      <c r="BQ41" s="350"/>
      <c r="BR41" s="350"/>
      <c r="BS41" s="350"/>
      <c r="BT41" s="350"/>
      <c r="BU41" s="350"/>
      <c r="BV41" s="350"/>
      <c r="BW41" s="350"/>
      <c r="BX41" s="350"/>
      <c r="BY41" s="350"/>
    </row>
    <row r="42">
      <c r="A42" s="493"/>
      <c r="B42" s="7"/>
      <c r="C42" s="7"/>
      <c r="D42" s="7"/>
      <c r="E42" s="7"/>
      <c r="F42" s="5"/>
      <c r="G42" s="630" t="s">
        <v>383</v>
      </c>
      <c r="H42" s="7"/>
      <c r="I42" s="7"/>
      <c r="J42" s="7"/>
      <c r="K42" s="7"/>
      <c r="L42" s="5"/>
      <c r="M42" s="645"/>
      <c r="N42" s="7"/>
      <c r="O42" s="7"/>
      <c r="P42" s="5"/>
      <c r="Q42" s="645"/>
      <c r="R42" s="7"/>
      <c r="S42" s="7"/>
      <c r="T42" s="5"/>
      <c r="U42" s="645"/>
      <c r="V42" s="7"/>
      <c r="W42" s="7"/>
      <c r="X42" s="5"/>
      <c r="Y42" s="493"/>
      <c r="Z42" s="7"/>
      <c r="AA42" s="7"/>
      <c r="AB42" s="5"/>
      <c r="AC42" s="653"/>
      <c r="AD42" s="7"/>
      <c r="AE42" s="7"/>
      <c r="AF42" s="5"/>
      <c r="AG42" s="350"/>
      <c r="AH42" s="350"/>
      <c r="AI42" s="350"/>
      <c r="AJ42" s="350"/>
      <c r="AK42" s="350"/>
      <c r="AL42" s="350"/>
      <c r="AM42" s="350"/>
      <c r="AN42" s="350"/>
      <c r="AO42" s="350"/>
      <c r="AP42" s="350"/>
      <c r="AQ42" s="350"/>
      <c r="AR42" s="350"/>
      <c r="AS42" s="350"/>
      <c r="AT42" s="350"/>
      <c r="AU42" s="350"/>
      <c r="AV42" s="350"/>
      <c r="AW42" s="350"/>
      <c r="AX42" s="350"/>
      <c r="AY42" s="350"/>
      <c r="AZ42" s="350"/>
      <c r="BA42" s="350"/>
      <c r="BB42" s="350"/>
      <c r="BC42" s="350"/>
      <c r="BD42" s="350"/>
      <c r="BE42" s="350"/>
      <c r="BF42" s="350"/>
      <c r="BG42" s="350"/>
      <c r="BH42" s="350"/>
      <c r="BI42" s="350"/>
      <c r="BJ42" s="350"/>
      <c r="BK42" s="350"/>
      <c r="BL42" s="350"/>
      <c r="BM42" s="350"/>
      <c r="BN42" s="350"/>
      <c r="BO42" s="350"/>
      <c r="BP42" s="350"/>
      <c r="BQ42" s="350"/>
      <c r="BR42" s="350"/>
      <c r="BS42" s="350"/>
      <c r="BT42" s="350"/>
      <c r="BU42" s="350"/>
      <c r="BV42" s="350"/>
      <c r="BW42" s="350"/>
      <c r="BX42" s="350"/>
      <c r="BY42" s="350"/>
    </row>
    <row r="43">
      <c r="A43" s="654"/>
      <c r="U43" s="655"/>
      <c r="V43" s="358"/>
      <c r="AH43" s="656"/>
      <c r="AI43" s="657"/>
      <c r="BC43" s="658"/>
      <c r="BD43" s="658"/>
      <c r="BE43" s="658"/>
      <c r="BF43" s="658"/>
      <c r="BG43" s="658"/>
      <c r="BH43" s="658"/>
      <c r="BI43" s="658"/>
      <c r="BJ43" s="658"/>
      <c r="BK43" s="658"/>
      <c r="BL43" s="658"/>
      <c r="BM43" s="658"/>
      <c r="BN43" s="658"/>
      <c r="BO43" s="658"/>
      <c r="BP43" s="658"/>
      <c r="BQ43" s="658"/>
      <c r="BR43" s="658"/>
      <c r="BS43" s="658"/>
      <c r="BT43" s="658"/>
      <c r="BU43" s="658"/>
      <c r="BV43" s="658"/>
      <c r="BW43" s="658"/>
      <c r="BX43" s="658"/>
      <c r="BY43" s="658"/>
    </row>
    <row r="44">
      <c r="A44" s="659" t="s">
        <v>384</v>
      </c>
      <c r="B44" s="11"/>
      <c r="C44" s="11"/>
      <c r="D44" s="11"/>
      <c r="E44" s="11"/>
      <c r="F44" s="11"/>
      <c r="G44" s="12"/>
      <c r="H44" s="659" t="s">
        <v>385</v>
      </c>
      <c r="I44" s="11"/>
      <c r="J44" s="12"/>
      <c r="K44" s="659" t="s">
        <v>386</v>
      </c>
      <c r="L44" s="11"/>
      <c r="M44" s="11"/>
      <c r="N44" s="12"/>
      <c r="O44" s="659" t="s">
        <v>387</v>
      </c>
      <c r="P44" s="11"/>
      <c r="Q44" s="660" t="s">
        <v>388</v>
      </c>
      <c r="R44" s="11"/>
      <c r="S44" s="11"/>
      <c r="T44" s="12"/>
      <c r="U44" s="661" t="s">
        <v>389</v>
      </c>
      <c r="V44" s="11"/>
      <c r="W44" s="11"/>
      <c r="X44" s="11"/>
      <c r="Y44" s="659" t="s">
        <v>390</v>
      </c>
      <c r="Z44" s="11"/>
      <c r="AA44" s="11"/>
      <c r="AB44" s="12"/>
      <c r="AC44" s="660" t="s">
        <v>391</v>
      </c>
      <c r="AD44" s="11"/>
      <c r="AE44" s="12"/>
      <c r="AF44" s="660" t="s">
        <v>392</v>
      </c>
      <c r="AG44" s="11"/>
      <c r="AH44" s="11"/>
      <c r="AI44" s="660" t="s">
        <v>393</v>
      </c>
      <c r="AJ44" s="11"/>
      <c r="AK44" s="11"/>
      <c r="AL44" s="11"/>
      <c r="AM44" s="11"/>
      <c r="AN44" s="11"/>
      <c r="AO44" s="11"/>
      <c r="AP44" s="11"/>
      <c r="AQ44" s="12"/>
      <c r="AR44" s="660" t="s">
        <v>394</v>
      </c>
      <c r="AS44" s="11"/>
      <c r="AT44" s="11"/>
      <c r="AU44" s="660" t="s">
        <v>395</v>
      </c>
      <c r="AV44" s="11"/>
      <c r="AW44" s="11"/>
      <c r="AX44" s="12"/>
      <c r="AY44" s="660" t="s">
        <v>396</v>
      </c>
      <c r="AZ44" s="11"/>
      <c r="BA44" s="11"/>
      <c r="BB44" s="12"/>
      <c r="BC44" s="662"/>
      <c r="BD44" s="662"/>
      <c r="BE44" s="662"/>
      <c r="BF44" s="662"/>
      <c r="BG44" s="662"/>
      <c r="BH44" s="662"/>
      <c r="BI44" s="662"/>
      <c r="BJ44" s="662"/>
      <c r="BK44" s="662"/>
      <c r="BL44" s="662"/>
      <c r="BM44" s="662"/>
      <c r="BN44" s="662"/>
      <c r="BO44" s="662"/>
      <c r="BP44" s="662"/>
      <c r="BQ44" s="662"/>
      <c r="BR44" s="662"/>
      <c r="BS44" s="662"/>
      <c r="BT44" s="662"/>
      <c r="BU44" s="662"/>
      <c r="BV44" s="662"/>
      <c r="BW44" s="662"/>
      <c r="BX44" s="662"/>
      <c r="BY44" s="662"/>
    </row>
    <row r="45">
      <c r="A45" s="21"/>
      <c r="B45" s="31"/>
      <c r="C45" s="31"/>
      <c r="D45" s="31"/>
      <c r="E45" s="31"/>
      <c r="F45" s="31"/>
      <c r="G45" s="22"/>
      <c r="H45" s="21"/>
      <c r="I45" s="31"/>
      <c r="J45" s="22"/>
      <c r="K45" s="21"/>
      <c r="L45" s="31"/>
      <c r="M45" s="31"/>
      <c r="N45" s="22"/>
      <c r="O45" s="21"/>
      <c r="P45" s="31"/>
      <c r="Q45" s="21"/>
      <c r="R45" s="31"/>
      <c r="S45" s="31"/>
      <c r="T45" s="22"/>
      <c r="U45" s="31"/>
      <c r="V45" s="31"/>
      <c r="W45" s="31"/>
      <c r="X45" s="31"/>
      <c r="Y45" s="21"/>
      <c r="Z45" s="31"/>
      <c r="AA45" s="31"/>
      <c r="AB45" s="22"/>
      <c r="AC45" s="21"/>
      <c r="AD45" s="31"/>
      <c r="AE45" s="22"/>
      <c r="AF45" s="18"/>
      <c r="AI45" s="21"/>
      <c r="AJ45" s="31"/>
      <c r="AK45" s="31"/>
      <c r="AL45" s="31"/>
      <c r="AM45" s="31"/>
      <c r="AN45" s="31"/>
      <c r="AO45" s="31"/>
      <c r="AP45" s="31"/>
      <c r="AQ45" s="22"/>
      <c r="AR45" s="18"/>
      <c r="AU45" s="21"/>
      <c r="AV45" s="31"/>
      <c r="AW45" s="31"/>
      <c r="AX45" s="22"/>
      <c r="AY45" s="21"/>
      <c r="AZ45" s="31"/>
      <c r="BA45" s="31"/>
      <c r="BB45" s="22"/>
      <c r="BC45" s="662"/>
      <c r="BD45" s="662"/>
      <c r="BE45" s="662"/>
      <c r="BF45" s="662"/>
      <c r="BG45" s="662"/>
      <c r="BH45" s="662"/>
      <c r="BI45" s="662"/>
      <c r="BJ45" s="662"/>
      <c r="BK45" s="662"/>
      <c r="BL45" s="662"/>
      <c r="BM45" s="662"/>
      <c r="BN45" s="662"/>
      <c r="BO45" s="662"/>
      <c r="BP45" s="662"/>
      <c r="BQ45" s="662"/>
      <c r="BR45" s="662"/>
      <c r="BS45" s="662"/>
      <c r="BT45" s="662"/>
      <c r="BU45" s="662"/>
      <c r="BV45" s="662"/>
      <c r="BW45" s="662"/>
      <c r="BX45" s="662"/>
      <c r="BY45" s="662"/>
    </row>
    <row r="46">
      <c r="A46" s="663" t="s">
        <v>397</v>
      </c>
      <c r="B46" s="7"/>
      <c r="C46" s="7"/>
      <c r="D46" s="7"/>
      <c r="E46" s="7"/>
      <c r="F46" s="7"/>
      <c r="G46" s="5"/>
      <c r="H46" s="664" t="s">
        <v>398</v>
      </c>
      <c r="I46" s="7"/>
      <c r="J46" s="5"/>
      <c r="K46" s="664" t="s">
        <v>52</v>
      </c>
      <c r="L46" s="7"/>
      <c r="M46" s="7"/>
      <c r="N46" s="5"/>
      <c r="O46" s="665">
        <v>1.0</v>
      </c>
      <c r="P46" s="5"/>
      <c r="Q46" s="665">
        <v>1.0</v>
      </c>
      <c r="R46" s="7"/>
      <c r="S46" s="7"/>
      <c r="T46" s="5"/>
      <c r="U46" s="665">
        <v>1.0</v>
      </c>
      <c r="V46" s="7"/>
      <c r="W46" s="7"/>
      <c r="X46" s="5"/>
      <c r="Y46" s="666" t="s">
        <v>399</v>
      </c>
      <c r="Z46" s="7"/>
      <c r="AA46" s="7"/>
      <c r="AB46" s="5"/>
      <c r="AC46" s="667"/>
      <c r="AD46" s="7"/>
      <c r="AE46" s="5"/>
      <c r="AF46" s="667">
        <f>Modificadores!B53</f>
        <v>2</v>
      </c>
      <c r="AG46" s="7"/>
      <c r="AH46" s="7"/>
      <c r="AI46" s="668" t="s">
        <v>400</v>
      </c>
      <c r="AJ46" s="7"/>
      <c r="AK46" s="7"/>
      <c r="AL46" s="7"/>
      <c r="AM46" s="7"/>
      <c r="AN46" s="7"/>
      <c r="AO46" s="7"/>
      <c r="AP46" s="7"/>
      <c r="AQ46" s="5"/>
      <c r="AR46" s="667"/>
      <c r="AS46" s="7"/>
      <c r="AT46" s="7"/>
      <c r="AU46" s="669" t="str">
        <f> IF(R[0]C[-32]=0,0,PROF)+IF(R[0]C[-30]=0,0,INDIRECT(R[0]C[-36]&amp;"_MOD"))+(R[0]C[-18])-('Mangekyōu Sharingan'!R100C19)+IF(AND('Curse Seal'!R5C20="Heaven",OR('Curse Seal'!R29C3="Stage 1",'Curse Seal'!R29C3="Stage 2",'Curse Seal'!R29C3="Stage 3")),2)+IF(AND('Curse Seal'!R5C20="Hell",OR('Curse Seal'!R29C3="Stage 2",'Curse Seal'!R29C3="Stage 3")),'Curse Seal'!R4C38)</f>
        <v>#ERROR!</v>
      </c>
      <c r="AV46" s="7"/>
      <c r="AW46" s="7"/>
      <c r="AX46" s="5"/>
      <c r="AY46" s="669">
        <v>1.0</v>
      </c>
      <c r="AZ46" s="7"/>
      <c r="BA46" s="7"/>
      <c r="BB46" s="5"/>
      <c r="BC46" s="670"/>
      <c r="BD46" s="670"/>
      <c r="BE46" s="670"/>
      <c r="BF46" s="670"/>
      <c r="BG46" s="670"/>
      <c r="BH46" s="670"/>
      <c r="BI46" s="670"/>
      <c r="BJ46" s="670"/>
      <c r="BK46" s="670"/>
      <c r="BL46" s="670"/>
      <c r="BM46" s="670"/>
      <c r="BN46" s="670"/>
      <c r="BO46" s="670"/>
      <c r="BP46" s="670"/>
      <c r="BQ46" s="670"/>
      <c r="BR46" s="670"/>
      <c r="BS46" s="670"/>
      <c r="BT46" s="670"/>
      <c r="BU46" s="670"/>
      <c r="BV46" s="670"/>
      <c r="BW46" s="670"/>
      <c r="BX46" s="670"/>
      <c r="BY46" s="670"/>
    </row>
    <row r="47">
      <c r="A47" s="663" t="s">
        <v>401</v>
      </c>
      <c r="B47" s="7"/>
      <c r="C47" s="7"/>
      <c r="D47" s="7"/>
      <c r="E47" s="7"/>
      <c r="F47" s="7"/>
      <c r="G47" s="5"/>
      <c r="H47" s="664" t="s">
        <v>402</v>
      </c>
      <c r="I47" s="7"/>
      <c r="J47" s="5"/>
      <c r="K47" s="664" t="s">
        <v>52</v>
      </c>
      <c r="L47" s="7"/>
      <c r="M47" s="7"/>
      <c r="N47" s="5"/>
      <c r="O47" s="665">
        <v>1.0</v>
      </c>
      <c r="P47" s="5"/>
      <c r="Q47" s="665">
        <v>1.0</v>
      </c>
      <c r="R47" s="7"/>
      <c r="S47" s="7"/>
      <c r="T47" s="5"/>
      <c r="U47" s="665">
        <v>1.0</v>
      </c>
      <c r="V47" s="7"/>
      <c r="W47" s="7"/>
      <c r="X47" s="5"/>
      <c r="Y47" s="666" t="s">
        <v>399</v>
      </c>
      <c r="Z47" s="7"/>
      <c r="AA47" s="7"/>
      <c r="AB47" s="5"/>
      <c r="AC47" s="667"/>
      <c r="AD47" s="7"/>
      <c r="AE47" s="5"/>
      <c r="AF47" s="667">
        <f>Modificadores!B53</f>
        <v>2</v>
      </c>
      <c r="AG47" s="7"/>
      <c r="AH47" s="5"/>
      <c r="AI47" s="671" t="s">
        <v>403</v>
      </c>
      <c r="AJ47" s="7"/>
      <c r="AK47" s="7"/>
      <c r="AL47" s="7"/>
      <c r="AM47" s="7"/>
      <c r="AN47" s="7"/>
      <c r="AO47" s="7"/>
      <c r="AP47" s="7"/>
      <c r="AQ47" s="5"/>
      <c r="AR47" s="667"/>
      <c r="AS47" s="7"/>
      <c r="AT47" s="7"/>
      <c r="AU47" s="669" t="e">
        <v>#REF!</v>
      </c>
      <c r="AV47" s="7"/>
      <c r="AW47" s="7"/>
      <c r="AX47" s="5"/>
      <c r="AY47" s="669">
        <v>1.0</v>
      </c>
      <c r="AZ47" s="7"/>
      <c r="BA47" s="7"/>
      <c r="BB47" s="5"/>
      <c r="BC47" s="670"/>
      <c r="BD47" s="670"/>
      <c r="BE47" s="670"/>
      <c r="BF47" s="670"/>
      <c r="BG47" s="670"/>
      <c r="BH47" s="670"/>
      <c r="BI47" s="670"/>
      <c r="BJ47" s="670"/>
      <c r="BK47" s="670"/>
      <c r="BL47" s="670"/>
      <c r="BM47" s="670"/>
      <c r="BN47" s="670"/>
      <c r="BO47" s="670"/>
      <c r="BP47" s="670"/>
      <c r="BQ47" s="670"/>
      <c r="BR47" s="670"/>
      <c r="BS47" s="670"/>
      <c r="BT47" s="670"/>
      <c r="BU47" s="670"/>
      <c r="BV47" s="670"/>
      <c r="BW47" s="670"/>
      <c r="BX47" s="670"/>
      <c r="BY47" s="670"/>
    </row>
    <row r="48">
      <c r="A48" s="663" t="s">
        <v>404</v>
      </c>
      <c r="B48" s="7"/>
      <c r="C48" s="7"/>
      <c r="D48" s="7"/>
      <c r="E48" s="7"/>
      <c r="F48" s="7"/>
      <c r="G48" s="5"/>
      <c r="H48" s="672" t="s">
        <v>405</v>
      </c>
      <c r="I48" s="7"/>
      <c r="J48" s="5"/>
      <c r="K48" s="664" t="s">
        <v>34</v>
      </c>
      <c r="L48" s="7"/>
      <c r="M48" s="7"/>
      <c r="N48" s="5"/>
      <c r="O48" s="665">
        <v>1.0</v>
      </c>
      <c r="P48" s="5"/>
      <c r="Q48" s="665">
        <v>1.0</v>
      </c>
      <c r="R48" s="7"/>
      <c r="S48" s="7"/>
      <c r="T48" s="5"/>
      <c r="U48" s="665">
        <v>1.0</v>
      </c>
      <c r="V48" s="7"/>
      <c r="W48" s="7"/>
      <c r="X48" s="5"/>
      <c r="Y48" s="666" t="s">
        <v>406</v>
      </c>
      <c r="Z48" s="7"/>
      <c r="AA48" s="7"/>
      <c r="AB48" s="5"/>
      <c r="AC48" s="667"/>
      <c r="AD48" s="7"/>
      <c r="AE48" s="5"/>
      <c r="AF48" s="667">
        <f>Modificadores!B53</f>
        <v>2</v>
      </c>
      <c r="AG48" s="7"/>
      <c r="AH48" s="7"/>
      <c r="AI48" s="673" t="s">
        <v>407</v>
      </c>
      <c r="AJ48" s="7"/>
      <c r="AK48" s="7"/>
      <c r="AL48" s="7"/>
      <c r="AM48" s="7"/>
      <c r="AN48" s="7"/>
      <c r="AO48" s="7"/>
      <c r="AP48" s="7"/>
      <c r="AQ48" s="5"/>
      <c r="AR48" s="667"/>
      <c r="AS48" s="7"/>
      <c r="AT48" s="7"/>
      <c r="AU48" s="669" t="e">
        <v>#REF!</v>
      </c>
      <c r="AV48" s="7"/>
      <c r="AW48" s="7"/>
      <c r="AX48" s="5"/>
      <c r="AY48" s="669">
        <v>3.0</v>
      </c>
      <c r="AZ48" s="7"/>
      <c r="BA48" s="7"/>
      <c r="BB48" s="5"/>
      <c r="BC48" s="670"/>
      <c r="BD48" s="670"/>
      <c r="BE48" s="670"/>
      <c r="BF48" s="670"/>
      <c r="BG48" s="670"/>
      <c r="BH48" s="670"/>
      <c r="BI48" s="670"/>
      <c r="BJ48" s="670"/>
      <c r="BK48" s="670"/>
      <c r="BL48" s="670"/>
      <c r="BM48" s="670"/>
      <c r="BN48" s="670"/>
      <c r="BO48" s="670"/>
      <c r="BP48" s="670"/>
      <c r="BQ48" s="670"/>
      <c r="BR48" s="670"/>
      <c r="BS48" s="670"/>
      <c r="BT48" s="670"/>
      <c r="BU48" s="670"/>
      <c r="BV48" s="670"/>
      <c r="BW48" s="670"/>
      <c r="BX48" s="670"/>
      <c r="BY48" s="670"/>
    </row>
    <row r="49">
      <c r="A49" s="663" t="s">
        <v>408</v>
      </c>
      <c r="B49" s="7"/>
      <c r="C49" s="7"/>
      <c r="D49" s="7"/>
      <c r="E49" s="7"/>
      <c r="F49" s="7"/>
      <c r="G49" s="5"/>
      <c r="H49" s="672" t="s">
        <v>405</v>
      </c>
      <c r="I49" s="7"/>
      <c r="J49" s="5"/>
      <c r="K49" s="664" t="s">
        <v>34</v>
      </c>
      <c r="L49" s="7"/>
      <c r="M49" s="7"/>
      <c r="N49" s="5"/>
      <c r="O49" s="665">
        <v>1.0</v>
      </c>
      <c r="P49" s="5"/>
      <c r="Q49" s="665">
        <v>1.0</v>
      </c>
      <c r="R49" s="7"/>
      <c r="S49" s="7"/>
      <c r="T49" s="5"/>
      <c r="U49" s="665">
        <v>1.0</v>
      </c>
      <c r="V49" s="7"/>
      <c r="W49" s="7"/>
      <c r="X49" s="5"/>
      <c r="Y49" s="666" t="s">
        <v>406</v>
      </c>
      <c r="Z49" s="7"/>
      <c r="AA49" s="7"/>
      <c r="AB49" s="5"/>
      <c r="AC49" s="667"/>
      <c r="AD49" s="7"/>
      <c r="AE49" s="5"/>
      <c r="AF49" s="667">
        <f>Modificadores!B53</f>
        <v>2</v>
      </c>
      <c r="AG49" s="7"/>
      <c r="AH49" s="7"/>
      <c r="AI49" s="673" t="s">
        <v>409</v>
      </c>
      <c r="AJ49" s="7"/>
      <c r="AK49" s="7"/>
      <c r="AL49" s="7"/>
      <c r="AM49" s="7"/>
      <c r="AN49" s="7"/>
      <c r="AO49" s="7"/>
      <c r="AP49" s="7"/>
      <c r="AQ49" s="5"/>
      <c r="AR49" s="667"/>
      <c r="AS49" s="7"/>
      <c r="AT49" s="7"/>
      <c r="AU49" s="669" t="e">
        <v>#REF!</v>
      </c>
      <c r="AV49" s="7"/>
      <c r="AW49" s="7"/>
      <c r="AX49" s="5"/>
      <c r="AY49" s="669">
        <v>1.0</v>
      </c>
      <c r="AZ49" s="7"/>
      <c r="BA49" s="7"/>
      <c r="BB49" s="5"/>
      <c r="BC49" s="670"/>
      <c r="BD49" s="670"/>
      <c r="BE49" s="670"/>
      <c r="BF49" s="670"/>
      <c r="BG49" s="670"/>
      <c r="BH49" s="670"/>
      <c r="BI49" s="670"/>
      <c r="BJ49" s="670"/>
      <c r="BK49" s="670"/>
      <c r="BL49" s="670"/>
      <c r="BM49" s="670"/>
      <c r="BN49" s="670"/>
      <c r="BO49" s="670"/>
      <c r="BP49" s="670"/>
      <c r="BQ49" s="670"/>
      <c r="BR49" s="670"/>
      <c r="BS49" s="670"/>
      <c r="BT49" s="670"/>
      <c r="BU49" s="670"/>
      <c r="BV49" s="670"/>
      <c r="BW49" s="670"/>
      <c r="BX49" s="670"/>
      <c r="BY49" s="670"/>
    </row>
    <row r="50">
      <c r="A50" s="663" t="s">
        <v>410</v>
      </c>
      <c r="B50" s="7"/>
      <c r="C50" s="7"/>
      <c r="D50" s="7"/>
      <c r="E50" s="7"/>
      <c r="F50" s="7"/>
      <c r="G50" s="5"/>
      <c r="H50" s="672" t="s">
        <v>405</v>
      </c>
      <c r="I50" s="7"/>
      <c r="J50" s="5"/>
      <c r="K50" s="664" t="s">
        <v>52</v>
      </c>
      <c r="L50" s="7"/>
      <c r="M50" s="7"/>
      <c r="N50" s="5"/>
      <c r="O50" s="665">
        <v>1.0</v>
      </c>
      <c r="P50" s="5"/>
      <c r="Q50" s="665">
        <v>1.0</v>
      </c>
      <c r="R50" s="7"/>
      <c r="S50" s="7"/>
      <c r="T50" s="5"/>
      <c r="U50" s="665">
        <v>1.0</v>
      </c>
      <c r="V50" s="7"/>
      <c r="W50" s="7"/>
      <c r="X50" s="5"/>
      <c r="Y50" s="666" t="s">
        <v>411</v>
      </c>
      <c r="Z50" s="7"/>
      <c r="AA50" s="7"/>
      <c r="AB50" s="5"/>
      <c r="AC50" s="667"/>
      <c r="AD50" s="7"/>
      <c r="AE50" s="5"/>
      <c r="AF50" s="667">
        <f>Modificadores!B53</f>
        <v>2</v>
      </c>
      <c r="AG50" s="7"/>
      <c r="AH50" s="7"/>
      <c r="AI50" s="673" t="s">
        <v>412</v>
      </c>
      <c r="AJ50" s="7"/>
      <c r="AK50" s="7"/>
      <c r="AL50" s="7"/>
      <c r="AM50" s="7"/>
      <c r="AN50" s="7"/>
      <c r="AO50" s="7"/>
      <c r="AP50" s="7"/>
      <c r="AQ50" s="5"/>
      <c r="AR50" s="667"/>
      <c r="AS50" s="7"/>
      <c r="AT50" s="7"/>
      <c r="AU50" s="669" t="e">
        <v>#REF!</v>
      </c>
      <c r="AV50" s="7"/>
      <c r="AW50" s="7"/>
      <c r="AX50" s="5"/>
      <c r="AY50" s="669">
        <v>1.0</v>
      </c>
      <c r="AZ50" s="7"/>
      <c r="BA50" s="7"/>
      <c r="BB50" s="5"/>
      <c r="BC50" s="670"/>
      <c r="BD50" s="670"/>
      <c r="BE50" s="670"/>
      <c r="BF50" s="670"/>
      <c r="BG50" s="670"/>
      <c r="BH50" s="670"/>
      <c r="BI50" s="670"/>
      <c r="BJ50" s="670"/>
      <c r="BK50" s="670"/>
      <c r="BL50" s="670"/>
      <c r="BM50" s="670"/>
      <c r="BN50" s="670"/>
      <c r="BO50" s="670"/>
      <c r="BP50" s="670"/>
      <c r="BQ50" s="670"/>
      <c r="BR50" s="670"/>
      <c r="BS50" s="670"/>
      <c r="BT50" s="670"/>
      <c r="BU50" s="670"/>
      <c r="BV50" s="670"/>
      <c r="BW50" s="670"/>
      <c r="BX50" s="670"/>
      <c r="BY50" s="670"/>
    </row>
    <row r="51">
      <c r="A51" s="663" t="s">
        <v>413</v>
      </c>
      <c r="B51" s="7"/>
      <c r="C51" s="7"/>
      <c r="D51" s="7"/>
      <c r="E51" s="7"/>
      <c r="F51" s="7"/>
      <c r="G51" s="5"/>
      <c r="H51" s="672" t="s">
        <v>414</v>
      </c>
      <c r="I51" s="7"/>
      <c r="J51" s="5"/>
      <c r="K51" s="664" t="s">
        <v>34</v>
      </c>
      <c r="L51" s="7"/>
      <c r="M51" s="7"/>
      <c r="N51" s="5"/>
      <c r="O51" s="665">
        <v>1.0</v>
      </c>
      <c r="P51" s="5"/>
      <c r="Q51" s="665">
        <v>1.0</v>
      </c>
      <c r="R51" s="7"/>
      <c r="S51" s="7"/>
      <c r="T51" s="5"/>
      <c r="U51" s="665">
        <v>1.0</v>
      </c>
      <c r="V51" s="7"/>
      <c r="W51" s="7"/>
      <c r="X51" s="5"/>
      <c r="Y51" s="666" t="s">
        <v>406</v>
      </c>
      <c r="Z51" s="7"/>
      <c r="AA51" s="7"/>
      <c r="AB51" s="5"/>
      <c r="AC51" s="667"/>
      <c r="AD51" s="7"/>
      <c r="AE51" s="5"/>
      <c r="AF51" s="667">
        <f>Modificadores!B53</f>
        <v>2</v>
      </c>
      <c r="AG51" s="7"/>
      <c r="AH51" s="7"/>
      <c r="AI51" s="673" t="s">
        <v>415</v>
      </c>
      <c r="AJ51" s="7"/>
      <c r="AK51" s="7"/>
      <c r="AL51" s="7"/>
      <c r="AM51" s="7"/>
      <c r="AN51" s="7"/>
      <c r="AO51" s="7"/>
      <c r="AP51" s="7"/>
      <c r="AQ51" s="5"/>
      <c r="AR51" s="667"/>
      <c r="AS51" s="7"/>
      <c r="AT51" s="7"/>
      <c r="AU51" s="669" t="e">
        <v>#REF!</v>
      </c>
      <c r="AV51" s="7"/>
      <c r="AW51" s="7"/>
      <c r="AX51" s="5"/>
      <c r="AY51" s="669">
        <v>3.0</v>
      </c>
      <c r="AZ51" s="7"/>
      <c r="BA51" s="7"/>
      <c r="BB51" s="5"/>
      <c r="BC51" s="670"/>
      <c r="BD51" s="670"/>
      <c r="BE51" s="670"/>
      <c r="BF51" s="670"/>
      <c r="BG51" s="670"/>
      <c r="BH51" s="670"/>
      <c r="BI51" s="670"/>
      <c r="BJ51" s="670"/>
      <c r="BK51" s="670"/>
      <c r="BL51" s="670"/>
      <c r="BM51" s="670"/>
      <c r="BN51" s="670"/>
      <c r="BO51" s="670"/>
      <c r="BP51" s="670"/>
      <c r="BQ51" s="670"/>
      <c r="BR51" s="670"/>
      <c r="BS51" s="670"/>
      <c r="BT51" s="670"/>
      <c r="BU51" s="670"/>
      <c r="BV51" s="670"/>
      <c r="BW51" s="670"/>
      <c r="BX51" s="670"/>
      <c r="BY51" s="670"/>
    </row>
    <row r="52">
      <c r="A52" s="663" t="s">
        <v>416</v>
      </c>
      <c r="B52" s="7"/>
      <c r="C52" s="7"/>
      <c r="D52" s="7"/>
      <c r="E52" s="7"/>
      <c r="F52" s="7"/>
      <c r="G52" s="5"/>
      <c r="H52" s="672" t="s">
        <v>414</v>
      </c>
      <c r="I52" s="7"/>
      <c r="J52" s="5"/>
      <c r="K52" s="664" t="s">
        <v>34</v>
      </c>
      <c r="L52" s="7"/>
      <c r="M52" s="7"/>
      <c r="N52" s="5"/>
      <c r="O52" s="665">
        <v>1.0</v>
      </c>
      <c r="P52" s="5"/>
      <c r="Q52" s="665">
        <v>1.0</v>
      </c>
      <c r="R52" s="7"/>
      <c r="S52" s="7"/>
      <c r="T52" s="5"/>
      <c r="U52" s="665">
        <v>1.0</v>
      </c>
      <c r="V52" s="7"/>
      <c r="W52" s="7"/>
      <c r="X52" s="5"/>
      <c r="Y52" s="666" t="s">
        <v>411</v>
      </c>
      <c r="Z52" s="7"/>
      <c r="AA52" s="7"/>
      <c r="AB52" s="5"/>
      <c r="AC52" s="667"/>
      <c r="AD52" s="7"/>
      <c r="AE52" s="5"/>
      <c r="AF52" s="667">
        <f>Modificadores!B53</f>
        <v>2</v>
      </c>
      <c r="AG52" s="7"/>
      <c r="AH52" s="7"/>
      <c r="AI52" s="673" t="s">
        <v>417</v>
      </c>
      <c r="AJ52" s="7"/>
      <c r="AK52" s="7"/>
      <c r="AL52" s="7"/>
      <c r="AM52" s="7"/>
      <c r="AN52" s="7"/>
      <c r="AO52" s="7"/>
      <c r="AP52" s="7"/>
      <c r="AQ52" s="5"/>
      <c r="AR52" s="667"/>
      <c r="AS52" s="7"/>
      <c r="AT52" s="7"/>
      <c r="AU52" s="669" t="e">
        <v>#REF!</v>
      </c>
      <c r="AV52" s="7"/>
      <c r="AW52" s="7"/>
      <c r="AX52" s="5"/>
      <c r="AY52" s="669">
        <v>3.0</v>
      </c>
      <c r="AZ52" s="7"/>
      <c r="BA52" s="7"/>
      <c r="BB52" s="5"/>
      <c r="BC52" s="670"/>
      <c r="BD52" s="670"/>
      <c r="BE52" s="670"/>
      <c r="BF52" s="670"/>
      <c r="BG52" s="670"/>
      <c r="BH52" s="670"/>
      <c r="BI52" s="670"/>
      <c r="BJ52" s="670"/>
      <c r="BK52" s="670"/>
      <c r="BL52" s="670"/>
      <c r="BM52" s="670"/>
      <c r="BN52" s="670"/>
      <c r="BO52" s="670"/>
      <c r="BP52" s="670"/>
      <c r="BQ52" s="670"/>
      <c r="BR52" s="670"/>
      <c r="BS52" s="670"/>
      <c r="BT52" s="670"/>
      <c r="BU52" s="670"/>
      <c r="BV52" s="670"/>
      <c r="BW52" s="670"/>
      <c r="BX52" s="670"/>
      <c r="BY52" s="670"/>
    </row>
    <row r="53">
      <c r="A53" s="663" t="s">
        <v>418</v>
      </c>
      <c r="B53" s="7"/>
      <c r="C53" s="7"/>
      <c r="D53" s="7"/>
      <c r="E53" s="7"/>
      <c r="F53" s="7"/>
      <c r="G53" s="5"/>
      <c r="H53" s="672" t="s">
        <v>419</v>
      </c>
      <c r="I53" s="7"/>
      <c r="J53" s="5"/>
      <c r="K53" s="664" t="s">
        <v>34</v>
      </c>
      <c r="L53" s="7"/>
      <c r="M53" s="7"/>
      <c r="N53" s="5"/>
      <c r="O53" s="665">
        <v>1.0</v>
      </c>
      <c r="P53" s="5"/>
      <c r="Q53" s="665">
        <v>1.0</v>
      </c>
      <c r="R53" s="7"/>
      <c r="S53" s="7"/>
      <c r="T53" s="5"/>
      <c r="U53" s="665">
        <v>1.0</v>
      </c>
      <c r="V53" s="7"/>
      <c r="W53" s="7"/>
      <c r="X53" s="5"/>
      <c r="Y53" s="666" t="s">
        <v>399</v>
      </c>
      <c r="Z53" s="7"/>
      <c r="AA53" s="7"/>
      <c r="AB53" s="5"/>
      <c r="AC53" s="667"/>
      <c r="AD53" s="7"/>
      <c r="AE53" s="5"/>
      <c r="AF53" s="667">
        <f>Modificadores!B53</f>
        <v>2</v>
      </c>
      <c r="AG53" s="7"/>
      <c r="AH53" s="7"/>
      <c r="AI53" s="673" t="s">
        <v>420</v>
      </c>
      <c r="AJ53" s="7"/>
      <c r="AK53" s="7"/>
      <c r="AL53" s="7"/>
      <c r="AM53" s="7"/>
      <c r="AN53" s="7"/>
      <c r="AO53" s="7"/>
      <c r="AP53" s="7"/>
      <c r="AQ53" s="5"/>
      <c r="AR53" s="667"/>
      <c r="AS53" s="7"/>
      <c r="AT53" s="7"/>
      <c r="AU53" s="669" t="e">
        <v>#REF!</v>
      </c>
      <c r="AV53" s="7"/>
      <c r="AW53" s="7"/>
      <c r="AX53" s="5"/>
      <c r="AY53" s="669">
        <v>3.0</v>
      </c>
      <c r="AZ53" s="7"/>
      <c r="BA53" s="7"/>
      <c r="BB53" s="5"/>
      <c r="BC53" s="670"/>
      <c r="BD53" s="670"/>
      <c r="BE53" s="670"/>
      <c r="BF53" s="670"/>
      <c r="BG53" s="670"/>
      <c r="BH53" s="670"/>
      <c r="BI53" s="670"/>
      <c r="BJ53" s="670"/>
      <c r="BK53" s="670"/>
      <c r="BL53" s="670"/>
      <c r="BM53" s="670"/>
      <c r="BN53" s="670"/>
      <c r="BO53" s="670"/>
      <c r="BP53" s="670"/>
      <c r="BQ53" s="670"/>
      <c r="BR53" s="670"/>
      <c r="BS53" s="670"/>
      <c r="BT53" s="670"/>
      <c r="BU53" s="670"/>
      <c r="BV53" s="670"/>
      <c r="BW53" s="670"/>
      <c r="BX53" s="670"/>
      <c r="BY53" s="670"/>
    </row>
    <row r="54">
      <c r="A54" s="663" t="s">
        <v>421</v>
      </c>
      <c r="B54" s="7"/>
      <c r="C54" s="7"/>
      <c r="D54" s="7"/>
      <c r="E54" s="7"/>
      <c r="F54" s="7"/>
      <c r="G54" s="5"/>
      <c r="H54" s="672" t="s">
        <v>422</v>
      </c>
      <c r="I54" s="7"/>
      <c r="J54" s="5"/>
      <c r="K54" s="664" t="s">
        <v>34</v>
      </c>
      <c r="L54" s="7"/>
      <c r="M54" s="7"/>
      <c r="N54" s="5"/>
      <c r="O54" s="665">
        <v>1.0</v>
      </c>
      <c r="P54" s="5"/>
      <c r="Q54" s="665">
        <v>1.0</v>
      </c>
      <c r="R54" s="7"/>
      <c r="S54" s="7"/>
      <c r="T54" s="5"/>
      <c r="U54" s="665">
        <v>1.0</v>
      </c>
      <c r="V54" s="7"/>
      <c r="W54" s="7"/>
      <c r="X54" s="5"/>
      <c r="Y54" s="666" t="s">
        <v>399</v>
      </c>
      <c r="Z54" s="7"/>
      <c r="AA54" s="7"/>
      <c r="AB54" s="5"/>
      <c r="AC54" s="667"/>
      <c r="AD54" s="7"/>
      <c r="AE54" s="5"/>
      <c r="AF54" s="667">
        <f>Modificadores!B53</f>
        <v>2</v>
      </c>
      <c r="AG54" s="7"/>
      <c r="AH54" s="7"/>
      <c r="AI54" s="673" t="s">
        <v>423</v>
      </c>
      <c r="AJ54" s="7"/>
      <c r="AK54" s="7"/>
      <c r="AL54" s="7"/>
      <c r="AM54" s="7"/>
      <c r="AN54" s="7"/>
      <c r="AO54" s="7"/>
      <c r="AP54" s="7"/>
      <c r="AQ54" s="5"/>
      <c r="AR54" s="667"/>
      <c r="AS54" s="7"/>
      <c r="AT54" s="7"/>
      <c r="AU54" s="669" t="e">
        <v>#REF!</v>
      </c>
      <c r="AV54" s="7"/>
      <c r="AW54" s="7"/>
      <c r="AX54" s="5"/>
      <c r="AY54" s="669">
        <v>3.0</v>
      </c>
      <c r="AZ54" s="7"/>
      <c r="BA54" s="7"/>
      <c r="BB54" s="5"/>
      <c r="BC54" s="670"/>
      <c r="BD54" s="670"/>
      <c r="BE54" s="670"/>
      <c r="BF54" s="670"/>
      <c r="BG54" s="670"/>
      <c r="BH54" s="670"/>
      <c r="BI54" s="670"/>
      <c r="BJ54" s="670"/>
      <c r="BK54" s="670"/>
      <c r="BL54" s="670"/>
      <c r="BM54" s="670"/>
      <c r="BN54" s="670"/>
      <c r="BO54" s="670"/>
      <c r="BP54" s="670"/>
      <c r="BQ54" s="670"/>
      <c r="BR54" s="670"/>
      <c r="BS54" s="670"/>
      <c r="BT54" s="670"/>
      <c r="BU54" s="670"/>
      <c r="BV54" s="670"/>
      <c r="BW54" s="670"/>
      <c r="BX54" s="670"/>
      <c r="BY54" s="670"/>
    </row>
    <row r="55">
      <c r="A55" s="663" t="s">
        <v>424</v>
      </c>
      <c r="B55" s="7"/>
      <c r="C55" s="7"/>
      <c r="D55" s="7"/>
      <c r="E55" s="7"/>
      <c r="F55" s="7"/>
      <c r="G55" s="5"/>
      <c r="H55" s="672" t="s">
        <v>414</v>
      </c>
      <c r="I55" s="7"/>
      <c r="J55" s="5"/>
      <c r="K55" s="664" t="s">
        <v>34</v>
      </c>
      <c r="L55" s="7"/>
      <c r="M55" s="7"/>
      <c r="N55" s="5"/>
      <c r="O55" s="665">
        <v>1.0</v>
      </c>
      <c r="P55" s="5"/>
      <c r="Q55" s="665">
        <v>1.0</v>
      </c>
      <c r="R55" s="7"/>
      <c r="S55" s="7"/>
      <c r="T55" s="5"/>
      <c r="U55" s="665">
        <v>1.0</v>
      </c>
      <c r="V55" s="7"/>
      <c r="W55" s="7"/>
      <c r="X55" s="5"/>
      <c r="Y55" s="666" t="s">
        <v>406</v>
      </c>
      <c r="Z55" s="7"/>
      <c r="AA55" s="7"/>
      <c r="AB55" s="5"/>
      <c r="AC55" s="667"/>
      <c r="AD55" s="7"/>
      <c r="AE55" s="5"/>
      <c r="AF55" s="667">
        <f>Modificadores!B53</f>
        <v>2</v>
      </c>
      <c r="AG55" s="7"/>
      <c r="AH55" s="7"/>
      <c r="AI55" s="673" t="s">
        <v>425</v>
      </c>
      <c r="AJ55" s="7"/>
      <c r="AK55" s="7"/>
      <c r="AL55" s="7"/>
      <c r="AM55" s="7"/>
      <c r="AN55" s="7"/>
      <c r="AO55" s="7"/>
      <c r="AP55" s="7"/>
      <c r="AQ55" s="5"/>
      <c r="AR55" s="667"/>
      <c r="AS55" s="7"/>
      <c r="AT55" s="7"/>
      <c r="AU55" s="669" t="e">
        <v>#REF!</v>
      </c>
      <c r="AV55" s="7"/>
      <c r="AW55" s="7"/>
      <c r="AX55" s="5"/>
      <c r="AY55" s="669">
        <v>3.0</v>
      </c>
      <c r="AZ55" s="7"/>
      <c r="BA55" s="7"/>
      <c r="BB55" s="5"/>
      <c r="BC55" s="670"/>
      <c r="BD55" s="670"/>
      <c r="BE55" s="670"/>
      <c r="BF55" s="670"/>
      <c r="BG55" s="670"/>
      <c r="BH55" s="670"/>
      <c r="BI55" s="670"/>
      <c r="BJ55" s="670"/>
      <c r="BK55" s="670"/>
      <c r="BL55" s="670"/>
      <c r="BM55" s="670"/>
      <c r="BN55" s="670"/>
      <c r="BO55" s="670"/>
      <c r="BP55" s="670"/>
      <c r="BQ55" s="670"/>
      <c r="BR55" s="670"/>
      <c r="BS55" s="670"/>
      <c r="BT55" s="670"/>
      <c r="BU55" s="670"/>
      <c r="BV55" s="670"/>
      <c r="BW55" s="670"/>
      <c r="BX55" s="670"/>
      <c r="BY55" s="670"/>
    </row>
    <row r="56">
      <c r="A56" s="663" t="s">
        <v>426</v>
      </c>
      <c r="B56" s="7"/>
      <c r="C56" s="7"/>
      <c r="D56" s="7"/>
      <c r="E56" s="7"/>
      <c r="F56" s="7"/>
      <c r="G56" s="5"/>
      <c r="H56" s="672" t="s">
        <v>427</v>
      </c>
      <c r="I56" s="7"/>
      <c r="J56" s="5"/>
      <c r="K56" s="664" t="s">
        <v>34</v>
      </c>
      <c r="L56" s="7"/>
      <c r="M56" s="7"/>
      <c r="N56" s="5"/>
      <c r="O56" s="665">
        <v>1.0</v>
      </c>
      <c r="P56" s="5"/>
      <c r="Q56" s="665">
        <v>1.0</v>
      </c>
      <c r="R56" s="7"/>
      <c r="S56" s="7"/>
      <c r="T56" s="5"/>
      <c r="U56" s="665">
        <v>1.0</v>
      </c>
      <c r="V56" s="7"/>
      <c r="W56" s="7"/>
      <c r="X56" s="5"/>
      <c r="Y56" s="666" t="s">
        <v>406</v>
      </c>
      <c r="Z56" s="7"/>
      <c r="AA56" s="7"/>
      <c r="AB56" s="5"/>
      <c r="AC56" s="667"/>
      <c r="AD56" s="7"/>
      <c r="AE56" s="5"/>
      <c r="AF56" s="667">
        <f>Modificadores!B53</f>
        <v>2</v>
      </c>
      <c r="AG56" s="7"/>
      <c r="AH56" s="7"/>
      <c r="AI56" s="673" t="s">
        <v>428</v>
      </c>
      <c r="AJ56" s="7"/>
      <c r="AK56" s="7"/>
      <c r="AL56" s="7"/>
      <c r="AM56" s="7"/>
      <c r="AN56" s="7"/>
      <c r="AO56" s="7"/>
      <c r="AP56" s="7"/>
      <c r="AQ56" s="5"/>
      <c r="AR56" s="667"/>
      <c r="AS56" s="7"/>
      <c r="AT56" s="7"/>
      <c r="AU56" s="669" t="e">
        <v>#REF!</v>
      </c>
      <c r="AV56" s="7"/>
      <c r="AW56" s="7"/>
      <c r="AX56" s="5"/>
      <c r="AY56" s="669">
        <v>3.0</v>
      </c>
      <c r="AZ56" s="7"/>
      <c r="BA56" s="7"/>
      <c r="BB56" s="5"/>
      <c r="BC56" s="670"/>
      <c r="BD56" s="670"/>
      <c r="BE56" s="670"/>
      <c r="BF56" s="670"/>
      <c r="BG56" s="670"/>
      <c r="BH56" s="670"/>
      <c r="BI56" s="670"/>
      <c r="BJ56" s="670"/>
      <c r="BK56" s="670"/>
      <c r="BL56" s="670"/>
      <c r="BM56" s="670"/>
      <c r="BN56" s="670"/>
      <c r="BO56" s="670"/>
      <c r="BP56" s="670"/>
      <c r="BQ56" s="670"/>
      <c r="BR56" s="670"/>
      <c r="BS56" s="670"/>
      <c r="BT56" s="670"/>
      <c r="BU56" s="670"/>
      <c r="BV56" s="670"/>
      <c r="BW56" s="670"/>
      <c r="BX56" s="670"/>
      <c r="BY56" s="670"/>
    </row>
    <row r="57">
      <c r="A57" s="663" t="s">
        <v>429</v>
      </c>
      <c r="B57" s="7"/>
      <c r="C57" s="7"/>
      <c r="D57" s="7"/>
      <c r="E57" s="7"/>
      <c r="F57" s="7"/>
      <c r="G57" s="5"/>
      <c r="H57" s="664" t="s">
        <v>427</v>
      </c>
      <c r="I57" s="7"/>
      <c r="J57" s="5"/>
      <c r="K57" s="664" t="s">
        <v>34</v>
      </c>
      <c r="L57" s="7"/>
      <c r="M57" s="7"/>
      <c r="N57" s="5"/>
      <c r="O57" s="665">
        <v>1.0</v>
      </c>
      <c r="P57" s="5"/>
      <c r="Q57" s="665">
        <v>1.0</v>
      </c>
      <c r="R57" s="7"/>
      <c r="S57" s="7"/>
      <c r="T57" s="5"/>
      <c r="U57" s="665">
        <v>1.0</v>
      </c>
      <c r="V57" s="7"/>
      <c r="W57" s="7"/>
      <c r="X57" s="5"/>
      <c r="Y57" s="666" t="s">
        <v>406</v>
      </c>
      <c r="Z57" s="7"/>
      <c r="AA57" s="7"/>
      <c r="AB57" s="5"/>
      <c r="AC57" s="667"/>
      <c r="AD57" s="7"/>
      <c r="AE57" s="5"/>
      <c r="AF57" s="667">
        <f>Modificadores!B53</f>
        <v>2</v>
      </c>
      <c r="AG57" s="7"/>
      <c r="AH57" s="5"/>
      <c r="AI57" s="671" t="s">
        <v>430</v>
      </c>
      <c r="AJ57" s="7"/>
      <c r="AK57" s="7"/>
      <c r="AL57" s="7"/>
      <c r="AM57" s="7"/>
      <c r="AN57" s="7"/>
      <c r="AO57" s="7"/>
      <c r="AP57" s="7"/>
      <c r="AQ57" s="5"/>
      <c r="AR57" s="667"/>
      <c r="AS57" s="7"/>
      <c r="AT57" s="7"/>
      <c r="AU57" s="669" t="e">
        <v>#REF!</v>
      </c>
      <c r="AV57" s="7"/>
      <c r="AW57" s="7"/>
      <c r="AX57" s="5"/>
      <c r="AY57" s="669">
        <v>3.0</v>
      </c>
      <c r="AZ57" s="7"/>
      <c r="BA57" s="7"/>
      <c r="BB57" s="5"/>
      <c r="BC57" s="670"/>
      <c r="BD57" s="670"/>
      <c r="BE57" s="670"/>
      <c r="BF57" s="670"/>
      <c r="BG57" s="670"/>
      <c r="BH57" s="670"/>
      <c r="BI57" s="670"/>
      <c r="BJ57" s="670"/>
      <c r="BK57" s="670"/>
      <c r="BL57" s="670"/>
      <c r="BM57" s="670"/>
      <c r="BN57" s="670"/>
      <c r="BO57" s="670"/>
      <c r="BP57" s="670"/>
      <c r="BQ57" s="670"/>
      <c r="BR57" s="670"/>
      <c r="BS57" s="670"/>
      <c r="BT57" s="670"/>
      <c r="BU57" s="670"/>
      <c r="BV57" s="670"/>
      <c r="BW57" s="670"/>
      <c r="BX57" s="670"/>
      <c r="BY57" s="670"/>
    </row>
    <row r="58">
      <c r="A58" s="663" t="s">
        <v>431</v>
      </c>
      <c r="B58" s="7"/>
      <c r="C58" s="7"/>
      <c r="D58" s="7"/>
      <c r="E58" s="7"/>
      <c r="F58" s="7"/>
      <c r="G58" s="5"/>
      <c r="H58" s="672" t="s">
        <v>427</v>
      </c>
      <c r="I58" s="7"/>
      <c r="J58" s="5"/>
      <c r="K58" s="664" t="s">
        <v>34</v>
      </c>
      <c r="L58" s="7"/>
      <c r="M58" s="7"/>
      <c r="N58" s="5"/>
      <c r="O58" s="665">
        <v>1.0</v>
      </c>
      <c r="P58" s="5"/>
      <c r="Q58" s="665">
        <v>1.0</v>
      </c>
      <c r="R58" s="7"/>
      <c r="S58" s="7"/>
      <c r="T58" s="5"/>
      <c r="U58" s="665">
        <v>1.0</v>
      </c>
      <c r="V58" s="7"/>
      <c r="W58" s="7"/>
      <c r="X58" s="5"/>
      <c r="Y58" s="666" t="s">
        <v>406</v>
      </c>
      <c r="Z58" s="7"/>
      <c r="AA58" s="7"/>
      <c r="AB58" s="5"/>
      <c r="AC58" s="667"/>
      <c r="AD58" s="7"/>
      <c r="AE58" s="5"/>
      <c r="AF58" s="667">
        <f>Modificadores!B53</f>
        <v>2</v>
      </c>
      <c r="AG58" s="7"/>
      <c r="AH58" s="7"/>
      <c r="AI58" s="673" t="s">
        <v>432</v>
      </c>
      <c r="AJ58" s="7"/>
      <c r="AK58" s="7"/>
      <c r="AL58" s="7"/>
      <c r="AM58" s="7"/>
      <c r="AN58" s="7"/>
      <c r="AO58" s="7"/>
      <c r="AP58" s="7"/>
      <c r="AQ58" s="5"/>
      <c r="AR58" s="667"/>
      <c r="AS58" s="7"/>
      <c r="AT58" s="7"/>
      <c r="AU58" s="669" t="e">
        <v>#REF!</v>
      </c>
      <c r="AV58" s="7"/>
      <c r="AW58" s="7"/>
      <c r="AX58" s="5"/>
      <c r="AY58" s="669">
        <v>3.0</v>
      </c>
      <c r="AZ58" s="7"/>
      <c r="BA58" s="7"/>
      <c r="BB58" s="5"/>
      <c r="BC58" s="670"/>
      <c r="BD58" s="670"/>
      <c r="BE58" s="670"/>
      <c r="BF58" s="670"/>
      <c r="BG58" s="670"/>
      <c r="BH58" s="670"/>
      <c r="BI58" s="670"/>
      <c r="BJ58" s="670"/>
      <c r="BK58" s="670"/>
      <c r="BL58" s="670"/>
      <c r="BM58" s="670"/>
      <c r="BN58" s="670"/>
      <c r="BO58" s="670"/>
      <c r="BP58" s="670"/>
      <c r="BQ58" s="670"/>
      <c r="BR58" s="670"/>
      <c r="BS58" s="670"/>
      <c r="BT58" s="670"/>
      <c r="BU58" s="670"/>
      <c r="BV58" s="670"/>
      <c r="BW58" s="670"/>
      <c r="BX58" s="670"/>
      <c r="BY58" s="670"/>
    </row>
    <row r="59">
      <c r="A59" s="663" t="s">
        <v>433</v>
      </c>
      <c r="B59" s="7"/>
      <c r="C59" s="7"/>
      <c r="D59" s="7"/>
      <c r="E59" s="7"/>
      <c r="F59" s="7"/>
      <c r="G59" s="5"/>
      <c r="H59" s="672" t="s">
        <v>405</v>
      </c>
      <c r="I59" s="7"/>
      <c r="J59" s="5"/>
      <c r="K59" s="664" t="s">
        <v>34</v>
      </c>
      <c r="L59" s="7"/>
      <c r="M59" s="7"/>
      <c r="N59" s="5"/>
      <c r="O59" s="665">
        <v>1.0</v>
      </c>
      <c r="P59" s="5"/>
      <c r="Q59" s="665">
        <v>1.0</v>
      </c>
      <c r="R59" s="7"/>
      <c r="S59" s="7"/>
      <c r="T59" s="5"/>
      <c r="U59" s="665">
        <v>1.0</v>
      </c>
      <c r="V59" s="7"/>
      <c r="W59" s="7"/>
      <c r="X59" s="5"/>
      <c r="Y59" s="666" t="s">
        <v>399</v>
      </c>
      <c r="Z59" s="7"/>
      <c r="AA59" s="7"/>
      <c r="AB59" s="5"/>
      <c r="AC59" s="667"/>
      <c r="AD59" s="7"/>
      <c r="AE59" s="5"/>
      <c r="AF59" s="667">
        <f>if(Modificadores!B53&gt;Modificadores!B55,Modificadores!B53,Modificadores!B55)</f>
        <v>4</v>
      </c>
      <c r="AG59" s="7"/>
      <c r="AH59" s="7"/>
      <c r="AI59" s="673" t="s">
        <v>434</v>
      </c>
      <c r="AJ59" s="7"/>
      <c r="AK59" s="7"/>
      <c r="AL59" s="7"/>
      <c r="AM59" s="7"/>
      <c r="AN59" s="7"/>
      <c r="AO59" s="7"/>
      <c r="AP59" s="7"/>
      <c r="AQ59" s="5"/>
      <c r="AR59" s="667"/>
      <c r="AS59" s="7"/>
      <c r="AT59" s="7"/>
      <c r="AU59" s="669" t="e">
        <v>#REF!</v>
      </c>
      <c r="AV59" s="7"/>
      <c r="AW59" s="7"/>
      <c r="AX59" s="5"/>
      <c r="AY59" s="669">
        <v>3.0</v>
      </c>
      <c r="AZ59" s="7"/>
      <c r="BA59" s="7"/>
      <c r="BB59" s="5"/>
      <c r="BC59" s="670"/>
      <c r="BD59" s="670"/>
      <c r="BE59" s="670"/>
      <c r="BF59" s="670"/>
      <c r="BG59" s="670"/>
      <c r="BH59" s="670"/>
      <c r="BI59" s="670"/>
      <c r="BJ59" s="670"/>
      <c r="BK59" s="670"/>
      <c r="BL59" s="670"/>
      <c r="BM59" s="670"/>
      <c r="BN59" s="670"/>
      <c r="BO59" s="670"/>
      <c r="BP59" s="670"/>
      <c r="BQ59" s="670"/>
      <c r="BR59" s="670"/>
      <c r="BS59" s="670"/>
      <c r="BT59" s="670"/>
      <c r="BU59" s="670"/>
      <c r="BV59" s="670"/>
      <c r="BW59" s="670"/>
      <c r="BX59" s="670"/>
      <c r="BY59" s="670"/>
    </row>
    <row r="60">
      <c r="A60" s="663" t="s">
        <v>435</v>
      </c>
      <c r="B60" s="7"/>
      <c r="C60" s="7"/>
      <c r="D60" s="7"/>
      <c r="E60" s="7"/>
      <c r="F60" s="7"/>
      <c r="G60" s="5"/>
      <c r="H60" s="672" t="s">
        <v>427</v>
      </c>
      <c r="I60" s="7"/>
      <c r="J60" s="5"/>
      <c r="K60" s="664" t="s">
        <v>34</v>
      </c>
      <c r="L60" s="7"/>
      <c r="M60" s="7"/>
      <c r="N60" s="5"/>
      <c r="O60" s="665">
        <v>1.0</v>
      </c>
      <c r="P60" s="5"/>
      <c r="Q60" s="665">
        <v>1.0</v>
      </c>
      <c r="R60" s="7"/>
      <c r="S60" s="7"/>
      <c r="T60" s="5"/>
      <c r="U60" s="665">
        <v>1.0</v>
      </c>
      <c r="V60" s="7"/>
      <c r="W60" s="7"/>
      <c r="X60" s="5"/>
      <c r="Y60" s="666" t="s">
        <v>406</v>
      </c>
      <c r="Z60" s="7"/>
      <c r="AA60" s="7"/>
      <c r="AB60" s="5"/>
      <c r="AC60" s="667"/>
      <c r="AD60" s="7"/>
      <c r="AE60" s="5"/>
      <c r="AF60" s="667">
        <f>Modificadores!B53</f>
        <v>2</v>
      </c>
      <c r="AG60" s="7"/>
      <c r="AH60" s="7"/>
      <c r="AI60" s="673" t="s">
        <v>436</v>
      </c>
      <c r="AJ60" s="7"/>
      <c r="AK60" s="7"/>
      <c r="AL60" s="7"/>
      <c r="AM60" s="7"/>
      <c r="AN60" s="7"/>
      <c r="AO60" s="7"/>
      <c r="AP60" s="7"/>
      <c r="AQ60" s="5"/>
      <c r="AR60" s="667"/>
      <c r="AS60" s="7"/>
      <c r="AT60" s="7"/>
      <c r="AU60" s="669" t="e">
        <v>#REF!</v>
      </c>
      <c r="AV60" s="7"/>
      <c r="AW60" s="7"/>
      <c r="AX60" s="5"/>
      <c r="AY60" s="669">
        <v>1.0</v>
      </c>
      <c r="AZ60" s="7"/>
      <c r="BA60" s="7"/>
      <c r="BB60" s="5"/>
      <c r="BC60" s="670"/>
      <c r="BD60" s="670"/>
      <c r="BE60" s="670"/>
      <c r="BF60" s="670"/>
      <c r="BG60" s="670"/>
      <c r="BH60" s="670"/>
      <c r="BI60" s="670"/>
      <c r="BJ60" s="670"/>
      <c r="BK60" s="670"/>
      <c r="BL60" s="670"/>
      <c r="BM60" s="670"/>
      <c r="BN60" s="670"/>
      <c r="BO60" s="670"/>
      <c r="BP60" s="670"/>
      <c r="BQ60" s="670"/>
      <c r="BR60" s="670"/>
      <c r="BS60" s="670"/>
      <c r="BT60" s="670"/>
      <c r="BU60" s="670"/>
      <c r="BV60" s="670"/>
      <c r="BW60" s="670"/>
      <c r="BX60" s="670"/>
      <c r="BY60" s="670"/>
    </row>
    <row r="61">
      <c r="A61" s="663" t="s">
        <v>437</v>
      </c>
      <c r="B61" s="7"/>
      <c r="C61" s="7"/>
      <c r="D61" s="7"/>
      <c r="E61" s="7"/>
      <c r="F61" s="7"/>
      <c r="G61" s="5"/>
      <c r="H61" s="672" t="s">
        <v>414</v>
      </c>
      <c r="I61" s="7"/>
      <c r="J61" s="5"/>
      <c r="K61" s="664" t="s">
        <v>34</v>
      </c>
      <c r="L61" s="7"/>
      <c r="M61" s="7"/>
      <c r="N61" s="5"/>
      <c r="O61" s="665">
        <v>1.0</v>
      </c>
      <c r="P61" s="5"/>
      <c r="Q61" s="665">
        <v>1.0</v>
      </c>
      <c r="R61" s="7"/>
      <c r="S61" s="7"/>
      <c r="T61" s="5"/>
      <c r="U61" s="665">
        <v>1.0</v>
      </c>
      <c r="V61" s="7"/>
      <c r="W61" s="7"/>
      <c r="X61" s="5"/>
      <c r="Y61" s="666" t="s">
        <v>399</v>
      </c>
      <c r="Z61" s="7"/>
      <c r="AA61" s="7"/>
      <c r="AB61" s="5"/>
      <c r="AC61" s="667"/>
      <c r="AD61" s="7"/>
      <c r="AE61" s="5"/>
      <c r="AF61" s="667">
        <f>Modificadores!B53</f>
        <v>2</v>
      </c>
      <c r="AG61" s="7"/>
      <c r="AH61" s="7"/>
      <c r="AI61" s="673" t="s">
        <v>438</v>
      </c>
      <c r="AJ61" s="7"/>
      <c r="AK61" s="7"/>
      <c r="AL61" s="7"/>
      <c r="AM61" s="7"/>
      <c r="AN61" s="7"/>
      <c r="AO61" s="7"/>
      <c r="AP61" s="7"/>
      <c r="AQ61" s="5"/>
      <c r="AR61" s="667"/>
      <c r="AS61" s="7"/>
      <c r="AT61" s="7"/>
      <c r="AU61" s="669" t="e">
        <v>#REF!</v>
      </c>
      <c r="AV61" s="7"/>
      <c r="AW61" s="7"/>
      <c r="AX61" s="5"/>
      <c r="AY61" s="669">
        <v>1.0</v>
      </c>
      <c r="AZ61" s="7"/>
      <c r="BA61" s="7"/>
      <c r="BB61" s="5"/>
      <c r="BC61" s="670"/>
      <c r="BD61" s="670"/>
      <c r="BE61" s="670"/>
      <c r="BF61" s="670"/>
      <c r="BG61" s="670"/>
      <c r="BH61" s="670"/>
      <c r="BI61" s="670"/>
      <c r="BJ61" s="670"/>
      <c r="BK61" s="670"/>
      <c r="BL61" s="670"/>
      <c r="BM61" s="670"/>
      <c r="BN61" s="670"/>
      <c r="BO61" s="670"/>
      <c r="BP61" s="670"/>
      <c r="BQ61" s="670"/>
      <c r="BR61" s="670"/>
      <c r="BS61" s="670"/>
      <c r="BT61" s="670"/>
      <c r="BU61" s="670"/>
      <c r="BV61" s="670"/>
      <c r="BW61" s="670"/>
      <c r="BX61" s="670"/>
      <c r="BY61" s="670"/>
    </row>
    <row r="62">
      <c r="A62" s="663" t="s">
        <v>439</v>
      </c>
      <c r="B62" s="7"/>
      <c r="C62" s="7"/>
      <c r="D62" s="7"/>
      <c r="E62" s="7"/>
      <c r="F62" s="7"/>
      <c r="G62" s="5"/>
      <c r="H62" s="672" t="s">
        <v>422</v>
      </c>
      <c r="I62" s="7"/>
      <c r="J62" s="5"/>
      <c r="K62" s="664" t="s">
        <v>34</v>
      </c>
      <c r="L62" s="7"/>
      <c r="M62" s="7"/>
      <c r="N62" s="5"/>
      <c r="O62" s="665">
        <v>1.0</v>
      </c>
      <c r="P62" s="5"/>
      <c r="Q62" s="665">
        <v>1.0</v>
      </c>
      <c r="R62" s="7"/>
      <c r="S62" s="7"/>
      <c r="T62" s="5"/>
      <c r="U62" s="665">
        <v>1.0</v>
      </c>
      <c r="V62" s="7"/>
      <c r="W62" s="7"/>
      <c r="X62" s="5"/>
      <c r="Y62" s="666" t="s">
        <v>406</v>
      </c>
      <c r="Z62" s="7"/>
      <c r="AA62" s="7"/>
      <c r="AB62" s="5"/>
      <c r="AC62" s="667"/>
      <c r="AD62" s="7"/>
      <c r="AE62" s="5"/>
      <c r="AF62" s="667">
        <f>Modificadores!B53</f>
        <v>2</v>
      </c>
      <c r="AG62" s="7"/>
      <c r="AH62" s="7"/>
      <c r="AI62" s="673" t="s">
        <v>440</v>
      </c>
      <c r="AJ62" s="7"/>
      <c r="AK62" s="7"/>
      <c r="AL62" s="7"/>
      <c r="AM62" s="7"/>
      <c r="AN62" s="7"/>
      <c r="AO62" s="7"/>
      <c r="AP62" s="7"/>
      <c r="AQ62" s="5"/>
      <c r="AR62" s="667"/>
      <c r="AS62" s="7"/>
      <c r="AT62" s="7"/>
      <c r="AU62" s="669" t="e">
        <v>#REF!</v>
      </c>
      <c r="AV62" s="7"/>
      <c r="AW62" s="7"/>
      <c r="AX62" s="5"/>
      <c r="AY62" s="669">
        <v>3.0</v>
      </c>
      <c r="AZ62" s="7"/>
      <c r="BA62" s="7"/>
      <c r="BB62" s="5"/>
      <c r="BC62" s="670"/>
      <c r="BD62" s="670"/>
      <c r="BE62" s="670"/>
      <c r="BF62" s="670"/>
      <c r="BG62" s="670"/>
      <c r="BH62" s="670"/>
      <c r="BI62" s="670"/>
      <c r="BJ62" s="670"/>
      <c r="BK62" s="670"/>
      <c r="BL62" s="670"/>
      <c r="BM62" s="670"/>
      <c r="BN62" s="670"/>
      <c r="BO62" s="670"/>
      <c r="BP62" s="670"/>
      <c r="BQ62" s="670"/>
      <c r="BR62" s="670"/>
      <c r="BS62" s="670"/>
      <c r="BT62" s="670"/>
      <c r="BU62" s="670"/>
      <c r="BV62" s="670"/>
      <c r="BW62" s="670"/>
      <c r="BX62" s="670"/>
      <c r="BY62" s="670"/>
    </row>
    <row r="63">
      <c r="A63" s="663" t="s">
        <v>441</v>
      </c>
      <c r="B63" s="7"/>
      <c r="C63" s="7"/>
      <c r="D63" s="7"/>
      <c r="E63" s="7"/>
      <c r="F63" s="7"/>
      <c r="G63" s="5"/>
      <c r="H63" s="672" t="s">
        <v>427</v>
      </c>
      <c r="I63" s="7"/>
      <c r="J63" s="5"/>
      <c r="K63" s="664" t="s">
        <v>34</v>
      </c>
      <c r="L63" s="7"/>
      <c r="M63" s="7"/>
      <c r="N63" s="5"/>
      <c r="O63" s="665">
        <v>1.0</v>
      </c>
      <c r="P63" s="5"/>
      <c r="Q63" s="665">
        <v>1.0</v>
      </c>
      <c r="R63" s="7"/>
      <c r="S63" s="7"/>
      <c r="T63" s="5"/>
      <c r="U63" s="665">
        <v>1.0</v>
      </c>
      <c r="V63" s="7"/>
      <c r="W63" s="7"/>
      <c r="X63" s="5"/>
      <c r="Y63" s="666" t="s">
        <v>406</v>
      </c>
      <c r="Z63" s="7"/>
      <c r="AA63" s="7"/>
      <c r="AB63" s="5"/>
      <c r="AC63" s="667"/>
      <c r="AD63" s="7"/>
      <c r="AE63" s="5"/>
      <c r="AF63" s="667">
        <f>Modificadores!B53</f>
        <v>2</v>
      </c>
      <c r="AG63" s="7"/>
      <c r="AH63" s="7"/>
      <c r="AI63" s="673" t="s">
        <v>442</v>
      </c>
      <c r="AJ63" s="7"/>
      <c r="AK63" s="7"/>
      <c r="AL63" s="7"/>
      <c r="AM63" s="7"/>
      <c r="AN63" s="7"/>
      <c r="AO63" s="7"/>
      <c r="AP63" s="7"/>
      <c r="AQ63" s="5"/>
      <c r="AR63" s="667"/>
      <c r="AS63" s="7"/>
      <c r="AT63" s="7"/>
      <c r="AU63" s="669" t="e">
        <v>#REF!</v>
      </c>
      <c r="AV63" s="7"/>
      <c r="AW63" s="7"/>
      <c r="AX63" s="5"/>
      <c r="AY63" s="669">
        <v>3.0</v>
      </c>
      <c r="AZ63" s="7"/>
      <c r="BA63" s="7"/>
      <c r="BB63" s="5"/>
      <c r="BC63" s="670"/>
      <c r="BD63" s="670"/>
      <c r="BE63" s="670"/>
      <c r="BF63" s="670"/>
      <c r="BG63" s="670"/>
      <c r="BH63" s="670"/>
      <c r="BI63" s="670"/>
      <c r="BJ63" s="670"/>
      <c r="BK63" s="670"/>
      <c r="BL63" s="670"/>
      <c r="BM63" s="670"/>
      <c r="BN63" s="670"/>
      <c r="BO63" s="670"/>
      <c r="BP63" s="670"/>
      <c r="BQ63" s="670"/>
      <c r="BR63" s="670"/>
      <c r="BS63" s="670"/>
      <c r="BT63" s="670"/>
      <c r="BU63" s="670"/>
      <c r="BV63" s="670"/>
      <c r="BW63" s="670"/>
      <c r="BX63" s="670"/>
      <c r="BY63" s="670"/>
    </row>
    <row r="64">
      <c r="A64" s="663" t="s">
        <v>443</v>
      </c>
      <c r="B64" s="7"/>
      <c r="C64" s="7"/>
      <c r="D64" s="7"/>
      <c r="E64" s="7"/>
      <c r="F64" s="7"/>
      <c r="G64" s="5"/>
      <c r="H64" s="664" t="s">
        <v>444</v>
      </c>
      <c r="I64" s="7"/>
      <c r="J64" s="5"/>
      <c r="K64" s="664" t="s">
        <v>34</v>
      </c>
      <c r="L64" s="7"/>
      <c r="M64" s="7"/>
      <c r="N64" s="5"/>
      <c r="O64" s="665">
        <v>1.0</v>
      </c>
      <c r="P64" s="5"/>
      <c r="Q64" s="665">
        <v>1.0</v>
      </c>
      <c r="R64" s="7"/>
      <c r="S64" s="7"/>
      <c r="T64" s="5"/>
      <c r="U64" s="665">
        <v>1.0</v>
      </c>
      <c r="V64" s="7"/>
      <c r="W64" s="7"/>
      <c r="X64" s="5"/>
      <c r="Y64" s="666" t="s">
        <v>406</v>
      </c>
      <c r="Z64" s="7"/>
      <c r="AA64" s="7"/>
      <c r="AB64" s="5"/>
      <c r="AC64" s="667"/>
      <c r="AD64" s="7"/>
      <c r="AE64" s="5"/>
      <c r="AF64" s="667">
        <f>Modificadores!B53</f>
        <v>2</v>
      </c>
      <c r="AG64" s="7"/>
      <c r="AH64" s="5"/>
      <c r="AI64" s="671" t="s">
        <v>445</v>
      </c>
      <c r="AJ64" s="7"/>
      <c r="AK64" s="7"/>
      <c r="AL64" s="7"/>
      <c r="AM64" s="7"/>
      <c r="AN64" s="7"/>
      <c r="AO64" s="7"/>
      <c r="AP64" s="7"/>
      <c r="AQ64" s="5"/>
      <c r="AR64" s="667"/>
      <c r="AS64" s="7"/>
      <c r="AT64" s="7"/>
      <c r="AU64" s="669" t="e">
        <v>#REF!</v>
      </c>
      <c r="AV64" s="7"/>
      <c r="AW64" s="7"/>
      <c r="AX64" s="5"/>
      <c r="AY64" s="669">
        <v>1.0</v>
      </c>
      <c r="AZ64" s="7"/>
      <c r="BA64" s="7"/>
      <c r="BB64" s="5"/>
      <c r="BC64" s="670"/>
      <c r="BD64" s="670"/>
      <c r="BE64" s="670"/>
      <c r="BF64" s="670"/>
      <c r="BG64" s="670"/>
      <c r="BH64" s="670"/>
      <c r="BI64" s="670"/>
      <c r="BJ64" s="670"/>
      <c r="BK64" s="670"/>
      <c r="BL64" s="670"/>
      <c r="BM64" s="670"/>
      <c r="BN64" s="670"/>
      <c r="BO64" s="670"/>
      <c r="BP64" s="670"/>
      <c r="BQ64" s="670"/>
      <c r="BR64" s="670"/>
      <c r="BS64" s="670"/>
      <c r="BT64" s="670"/>
      <c r="BU64" s="670"/>
      <c r="BV64" s="670"/>
      <c r="BW64" s="670"/>
      <c r="BX64" s="670"/>
      <c r="BY64" s="670"/>
    </row>
    <row r="65">
      <c r="A65" s="663" t="s">
        <v>446</v>
      </c>
      <c r="B65" s="7"/>
      <c r="C65" s="7"/>
      <c r="D65" s="7"/>
      <c r="E65" s="7"/>
      <c r="F65" s="7"/>
      <c r="G65" s="5"/>
      <c r="H65" s="672" t="s">
        <v>444</v>
      </c>
      <c r="I65" s="7"/>
      <c r="J65" s="5"/>
      <c r="K65" s="664" t="s">
        <v>34</v>
      </c>
      <c r="L65" s="7"/>
      <c r="M65" s="7"/>
      <c r="N65" s="5"/>
      <c r="O65" s="665">
        <v>1.0</v>
      </c>
      <c r="P65" s="5"/>
      <c r="Q65" s="665">
        <v>1.0</v>
      </c>
      <c r="R65" s="7"/>
      <c r="S65" s="7"/>
      <c r="T65" s="5"/>
      <c r="U65" s="665">
        <v>1.0</v>
      </c>
      <c r="V65" s="7"/>
      <c r="W65" s="7"/>
      <c r="X65" s="5"/>
      <c r="Y65" s="666" t="s">
        <v>399</v>
      </c>
      <c r="Z65" s="7"/>
      <c r="AA65" s="7"/>
      <c r="AB65" s="5"/>
      <c r="AC65" s="667"/>
      <c r="AD65" s="7"/>
      <c r="AE65" s="5"/>
      <c r="AF65" s="667">
        <f>Modificadores!B53</f>
        <v>2</v>
      </c>
      <c r="AG65" s="7"/>
      <c r="AH65" s="7"/>
      <c r="AI65" s="673" t="s">
        <v>447</v>
      </c>
      <c r="AJ65" s="7"/>
      <c r="AK65" s="7"/>
      <c r="AL65" s="7"/>
      <c r="AM65" s="7"/>
      <c r="AN65" s="7"/>
      <c r="AO65" s="7"/>
      <c r="AP65" s="7"/>
      <c r="AQ65" s="5"/>
      <c r="AR65" s="667"/>
      <c r="AS65" s="7"/>
      <c r="AT65" s="7"/>
      <c r="AU65" s="669" t="e">
        <v>#REF!</v>
      </c>
      <c r="AV65" s="7"/>
      <c r="AW65" s="7"/>
      <c r="AX65" s="5"/>
      <c r="AY65" s="669">
        <v>3.0</v>
      </c>
      <c r="AZ65" s="7"/>
      <c r="BA65" s="7"/>
      <c r="BB65" s="5"/>
      <c r="BC65" s="670"/>
      <c r="BD65" s="670"/>
      <c r="BE65" s="670"/>
      <c r="BF65" s="670"/>
      <c r="BG65" s="670"/>
      <c r="BH65" s="670"/>
      <c r="BI65" s="670"/>
      <c r="BJ65" s="670"/>
      <c r="BK65" s="670"/>
      <c r="BL65" s="670"/>
      <c r="BM65" s="670"/>
      <c r="BN65" s="670"/>
      <c r="BO65" s="670"/>
      <c r="BP65" s="670"/>
      <c r="BQ65" s="670"/>
      <c r="BR65" s="670"/>
      <c r="BS65" s="670"/>
      <c r="BT65" s="670"/>
      <c r="BU65" s="670"/>
      <c r="BV65" s="670"/>
      <c r="BW65" s="670"/>
      <c r="BX65" s="670"/>
      <c r="BY65" s="670"/>
    </row>
    <row r="66">
      <c r="A66" s="663" t="s">
        <v>448</v>
      </c>
      <c r="B66" s="7"/>
      <c r="C66" s="7"/>
      <c r="D66" s="7"/>
      <c r="E66" s="7"/>
      <c r="F66" s="7"/>
      <c r="G66" s="5"/>
      <c r="H66" s="672" t="s">
        <v>414</v>
      </c>
      <c r="I66" s="7"/>
      <c r="J66" s="5"/>
      <c r="K66" s="664" t="s">
        <v>34</v>
      </c>
      <c r="L66" s="7"/>
      <c r="M66" s="7"/>
      <c r="N66" s="5"/>
      <c r="O66" s="665">
        <v>1.0</v>
      </c>
      <c r="P66" s="5"/>
      <c r="Q66" s="665">
        <v>1.0</v>
      </c>
      <c r="R66" s="7"/>
      <c r="S66" s="7"/>
      <c r="T66" s="5"/>
      <c r="U66" s="665">
        <v>1.0</v>
      </c>
      <c r="V66" s="7"/>
      <c r="W66" s="7"/>
      <c r="X66" s="5"/>
      <c r="Y66" s="666" t="s">
        <v>399</v>
      </c>
      <c r="Z66" s="7"/>
      <c r="AA66" s="7"/>
      <c r="AB66" s="5"/>
      <c r="AC66" s="667"/>
      <c r="AD66" s="7"/>
      <c r="AE66" s="5"/>
      <c r="AF66" s="667">
        <f>Modificadores!B53</f>
        <v>2</v>
      </c>
      <c r="AG66" s="7"/>
      <c r="AH66" s="7"/>
      <c r="AI66" s="673" t="s">
        <v>449</v>
      </c>
      <c r="AJ66" s="7"/>
      <c r="AK66" s="7"/>
      <c r="AL66" s="7"/>
      <c r="AM66" s="7"/>
      <c r="AN66" s="7"/>
      <c r="AO66" s="7"/>
      <c r="AP66" s="7"/>
      <c r="AQ66" s="5"/>
      <c r="AR66" s="667"/>
      <c r="AS66" s="7"/>
      <c r="AT66" s="7"/>
      <c r="AU66" s="669" t="e">
        <v>#REF!</v>
      </c>
      <c r="AV66" s="7"/>
      <c r="AW66" s="7"/>
      <c r="AX66" s="5"/>
      <c r="AY66" s="669">
        <v>3.0</v>
      </c>
      <c r="AZ66" s="7"/>
      <c r="BA66" s="7"/>
      <c r="BB66" s="5"/>
      <c r="BC66" s="670"/>
      <c r="BD66" s="670"/>
      <c r="BE66" s="670"/>
      <c r="BF66" s="670"/>
      <c r="BG66" s="670"/>
      <c r="BH66" s="670"/>
      <c r="BI66" s="670"/>
      <c r="BJ66" s="670"/>
      <c r="BK66" s="670"/>
      <c r="BL66" s="670"/>
      <c r="BM66" s="670"/>
      <c r="BN66" s="670"/>
      <c r="BO66" s="670"/>
      <c r="BP66" s="670"/>
      <c r="BQ66" s="670"/>
      <c r="BR66" s="670"/>
      <c r="BS66" s="670"/>
      <c r="BT66" s="670"/>
      <c r="BU66" s="670"/>
      <c r="BV66" s="670"/>
      <c r="BW66" s="670"/>
      <c r="BX66" s="670"/>
      <c r="BY66" s="670"/>
    </row>
    <row r="67">
      <c r="A67" s="663" t="s">
        <v>450</v>
      </c>
      <c r="B67" s="7"/>
      <c r="C67" s="7"/>
      <c r="D67" s="7"/>
      <c r="E67" s="7"/>
      <c r="F67" s="7"/>
      <c r="G67" s="5"/>
      <c r="H67" s="672" t="s">
        <v>405</v>
      </c>
      <c r="I67" s="7"/>
      <c r="J67" s="5"/>
      <c r="K67" s="664" t="s">
        <v>34</v>
      </c>
      <c r="L67" s="7"/>
      <c r="M67" s="7"/>
      <c r="N67" s="5"/>
      <c r="O67" s="665">
        <v>1.0</v>
      </c>
      <c r="P67" s="5"/>
      <c r="Q67" s="665">
        <v>1.0</v>
      </c>
      <c r="R67" s="7"/>
      <c r="S67" s="7"/>
      <c r="T67" s="5"/>
      <c r="U67" s="665">
        <v>1.0</v>
      </c>
      <c r="V67" s="7"/>
      <c r="W67" s="7"/>
      <c r="X67" s="5"/>
      <c r="Y67" s="666" t="s">
        <v>406</v>
      </c>
      <c r="Z67" s="7"/>
      <c r="AA67" s="7"/>
      <c r="AB67" s="5"/>
      <c r="AC67" s="667"/>
      <c r="AD67" s="7"/>
      <c r="AE67" s="5"/>
      <c r="AF67" s="667">
        <f>Modificadores!B53</f>
        <v>2</v>
      </c>
      <c r="AG67" s="7"/>
      <c r="AH67" s="7"/>
      <c r="AI67" s="673" t="s">
        <v>451</v>
      </c>
      <c r="AJ67" s="7"/>
      <c r="AK67" s="7"/>
      <c r="AL67" s="7"/>
      <c r="AM67" s="7"/>
      <c r="AN67" s="7"/>
      <c r="AO67" s="7"/>
      <c r="AP67" s="7"/>
      <c r="AQ67" s="5"/>
      <c r="AR67" s="667"/>
      <c r="AS67" s="7"/>
      <c r="AT67" s="7"/>
      <c r="AU67" s="669" t="e">
        <v>#REF!</v>
      </c>
      <c r="AV67" s="7"/>
      <c r="AW67" s="7"/>
      <c r="AX67" s="5"/>
      <c r="AY67" s="669">
        <v>3.0</v>
      </c>
      <c r="AZ67" s="7"/>
      <c r="BA67" s="7"/>
      <c r="BB67" s="5"/>
      <c r="BC67" s="670"/>
      <c r="BD67" s="670"/>
      <c r="BE67" s="670"/>
      <c r="BF67" s="670"/>
      <c r="BG67" s="670"/>
      <c r="BH67" s="670"/>
      <c r="BI67" s="670"/>
      <c r="BJ67" s="670"/>
      <c r="BK67" s="670"/>
      <c r="BL67" s="670"/>
      <c r="BM67" s="670"/>
      <c r="BN67" s="670"/>
      <c r="BO67" s="670"/>
      <c r="BP67" s="670"/>
      <c r="BQ67" s="670"/>
      <c r="BR67" s="670"/>
      <c r="BS67" s="670"/>
      <c r="BT67" s="670"/>
      <c r="BU67" s="670"/>
      <c r="BV67" s="670"/>
      <c r="BW67" s="670"/>
      <c r="BX67" s="670"/>
      <c r="BY67" s="670"/>
    </row>
    <row r="68">
      <c r="A68" s="663" t="s">
        <v>452</v>
      </c>
      <c r="B68" s="7"/>
      <c r="C68" s="7"/>
      <c r="D68" s="7"/>
      <c r="E68" s="7"/>
      <c r="F68" s="7"/>
      <c r="G68" s="5"/>
      <c r="H68" s="672" t="s">
        <v>414</v>
      </c>
      <c r="I68" s="7"/>
      <c r="J68" s="5"/>
      <c r="K68" s="664" t="s">
        <v>34</v>
      </c>
      <c r="L68" s="7"/>
      <c r="M68" s="7"/>
      <c r="N68" s="5"/>
      <c r="O68" s="665">
        <v>1.0</v>
      </c>
      <c r="P68" s="5"/>
      <c r="Q68" s="665">
        <v>1.0</v>
      </c>
      <c r="R68" s="7"/>
      <c r="S68" s="7"/>
      <c r="T68" s="5"/>
      <c r="U68" s="665">
        <v>1.0</v>
      </c>
      <c r="V68" s="7"/>
      <c r="W68" s="7"/>
      <c r="X68" s="5"/>
      <c r="Y68" s="666" t="s">
        <v>406</v>
      </c>
      <c r="Z68" s="7"/>
      <c r="AA68" s="7"/>
      <c r="AB68" s="5"/>
      <c r="AC68" s="667"/>
      <c r="AD68" s="7"/>
      <c r="AE68" s="5"/>
      <c r="AF68" s="667">
        <f>Modificadores!B53</f>
        <v>2</v>
      </c>
      <c r="AG68" s="7"/>
      <c r="AH68" s="7"/>
      <c r="AI68" s="673" t="s">
        <v>453</v>
      </c>
      <c r="AJ68" s="7"/>
      <c r="AK68" s="7"/>
      <c r="AL68" s="7"/>
      <c r="AM68" s="7"/>
      <c r="AN68" s="7"/>
      <c r="AO68" s="7"/>
      <c r="AP68" s="7"/>
      <c r="AQ68" s="5"/>
      <c r="AR68" s="667"/>
      <c r="AS68" s="7"/>
      <c r="AT68" s="7"/>
      <c r="AU68" s="669" t="e">
        <v>#REF!</v>
      </c>
      <c r="AV68" s="7"/>
      <c r="AW68" s="7"/>
      <c r="AX68" s="5"/>
      <c r="AY68" s="669">
        <v>3.0</v>
      </c>
      <c r="AZ68" s="7"/>
      <c r="BA68" s="7"/>
      <c r="BB68" s="5"/>
      <c r="BC68" s="670"/>
      <c r="BD68" s="670"/>
      <c r="BE68" s="670"/>
      <c r="BF68" s="670"/>
      <c r="BG68" s="670"/>
      <c r="BH68" s="670"/>
      <c r="BI68" s="670"/>
      <c r="BJ68" s="670"/>
      <c r="BK68" s="670"/>
      <c r="BL68" s="670"/>
      <c r="BM68" s="670"/>
      <c r="BN68" s="670"/>
      <c r="BO68" s="670"/>
      <c r="BP68" s="670"/>
      <c r="BQ68" s="670"/>
      <c r="BR68" s="670"/>
      <c r="BS68" s="670"/>
      <c r="BT68" s="670"/>
      <c r="BU68" s="670"/>
      <c r="BV68" s="670"/>
      <c r="BW68" s="670"/>
      <c r="BX68" s="670"/>
      <c r="BY68" s="670"/>
    </row>
    <row r="69">
      <c r="A69" s="663" t="s">
        <v>454</v>
      </c>
      <c r="B69" s="7"/>
      <c r="C69" s="7"/>
      <c r="D69" s="7"/>
      <c r="E69" s="7"/>
      <c r="F69" s="7"/>
      <c r="G69" s="5"/>
      <c r="H69" s="672" t="s">
        <v>405</v>
      </c>
      <c r="I69" s="7"/>
      <c r="J69" s="5"/>
      <c r="K69" s="664" t="s">
        <v>34</v>
      </c>
      <c r="L69" s="7"/>
      <c r="M69" s="7"/>
      <c r="N69" s="5"/>
      <c r="O69" s="665">
        <v>1.0</v>
      </c>
      <c r="P69" s="5"/>
      <c r="Q69" s="665">
        <v>1.0</v>
      </c>
      <c r="R69" s="7"/>
      <c r="S69" s="7"/>
      <c r="T69" s="5"/>
      <c r="U69" s="665">
        <v>1.0</v>
      </c>
      <c r="V69" s="7"/>
      <c r="W69" s="7"/>
      <c r="X69" s="5"/>
      <c r="Y69" s="666" t="s">
        <v>406</v>
      </c>
      <c r="Z69" s="7"/>
      <c r="AA69" s="7"/>
      <c r="AB69" s="5"/>
      <c r="AC69" s="667"/>
      <c r="AD69" s="7"/>
      <c r="AE69" s="5"/>
      <c r="AF69" s="667">
        <f>Modificadores!B53</f>
        <v>2</v>
      </c>
      <c r="AG69" s="7"/>
      <c r="AH69" s="7"/>
      <c r="AI69" s="673" t="s">
        <v>455</v>
      </c>
      <c r="AJ69" s="7"/>
      <c r="AK69" s="7"/>
      <c r="AL69" s="7"/>
      <c r="AM69" s="7"/>
      <c r="AN69" s="7"/>
      <c r="AO69" s="7"/>
      <c r="AP69" s="7"/>
      <c r="AQ69" s="5"/>
      <c r="AR69" s="667"/>
      <c r="AS69" s="7"/>
      <c r="AT69" s="7"/>
      <c r="AU69" s="669" t="e">
        <v>#REF!</v>
      </c>
      <c r="AV69" s="7"/>
      <c r="AW69" s="7"/>
      <c r="AX69" s="5"/>
      <c r="AY69" s="669">
        <v>3.0</v>
      </c>
      <c r="AZ69" s="7"/>
      <c r="BA69" s="7"/>
      <c r="BB69" s="5"/>
      <c r="BC69" s="670"/>
      <c r="BD69" s="670"/>
      <c r="BE69" s="670"/>
      <c r="BF69" s="670"/>
      <c r="BG69" s="670"/>
      <c r="BH69" s="670"/>
      <c r="BI69" s="670"/>
      <c r="BJ69" s="670"/>
      <c r="BK69" s="670"/>
      <c r="BL69" s="670"/>
      <c r="BM69" s="670"/>
      <c r="BN69" s="670"/>
      <c r="BO69" s="670"/>
      <c r="BP69" s="670"/>
      <c r="BQ69" s="670"/>
      <c r="BR69" s="670"/>
      <c r="BS69" s="670"/>
      <c r="BT69" s="670"/>
      <c r="BU69" s="670"/>
      <c r="BV69" s="670"/>
      <c r="BW69" s="670"/>
      <c r="BX69" s="670"/>
      <c r="BY69" s="670"/>
    </row>
    <row r="70">
      <c r="A70" s="663" t="s">
        <v>456</v>
      </c>
      <c r="B70" s="7"/>
      <c r="C70" s="7"/>
      <c r="D70" s="7"/>
      <c r="E70" s="7"/>
      <c r="F70" s="7"/>
      <c r="G70" s="5"/>
      <c r="H70" s="672" t="s">
        <v>405</v>
      </c>
      <c r="I70" s="7"/>
      <c r="J70" s="5"/>
      <c r="K70" s="664" t="s">
        <v>34</v>
      </c>
      <c r="L70" s="7"/>
      <c r="M70" s="7"/>
      <c r="N70" s="5"/>
      <c r="O70" s="665">
        <v>1.0</v>
      </c>
      <c r="P70" s="5"/>
      <c r="Q70" s="665">
        <v>1.0</v>
      </c>
      <c r="R70" s="7"/>
      <c r="S70" s="7"/>
      <c r="T70" s="5"/>
      <c r="U70" s="665">
        <v>1.0</v>
      </c>
      <c r="V70" s="7"/>
      <c r="W70" s="7"/>
      <c r="X70" s="5"/>
      <c r="Y70" s="667"/>
      <c r="Z70" s="7"/>
      <c r="AA70" s="7"/>
      <c r="AB70" s="5"/>
      <c r="AC70" s="667"/>
      <c r="AD70" s="7"/>
      <c r="AE70" s="5"/>
      <c r="AF70" s="667">
        <f>Modificadores!B53</f>
        <v>2</v>
      </c>
      <c r="AG70" s="7"/>
      <c r="AH70" s="7"/>
      <c r="AI70" s="673" t="s">
        <v>457</v>
      </c>
      <c r="AJ70" s="7"/>
      <c r="AK70" s="7"/>
      <c r="AL70" s="7"/>
      <c r="AM70" s="7"/>
      <c r="AN70" s="7"/>
      <c r="AO70" s="7"/>
      <c r="AP70" s="7"/>
      <c r="AQ70" s="5"/>
      <c r="AR70" s="667"/>
      <c r="AS70" s="7"/>
      <c r="AT70" s="7"/>
      <c r="AU70" s="669" t="e">
        <v>#REF!</v>
      </c>
      <c r="AV70" s="7"/>
      <c r="AW70" s="7"/>
      <c r="AX70" s="5"/>
      <c r="AY70" s="669">
        <v>3.0</v>
      </c>
      <c r="AZ70" s="7"/>
      <c r="BA70" s="7"/>
      <c r="BB70" s="5"/>
      <c r="BC70" s="670"/>
      <c r="BD70" s="670"/>
      <c r="BE70" s="670"/>
      <c r="BF70" s="670"/>
      <c r="BG70" s="670"/>
      <c r="BH70" s="670"/>
      <c r="BI70" s="670"/>
      <c r="BJ70" s="670"/>
      <c r="BK70" s="670"/>
      <c r="BL70" s="670"/>
      <c r="BM70" s="670"/>
      <c r="BN70" s="670"/>
      <c r="BO70" s="670"/>
      <c r="BP70" s="670"/>
      <c r="BQ70" s="670"/>
      <c r="BR70" s="670"/>
      <c r="BS70" s="670"/>
      <c r="BT70" s="670"/>
      <c r="BU70" s="670"/>
      <c r="BV70" s="670"/>
      <c r="BW70" s="670"/>
      <c r="BX70" s="670"/>
      <c r="BY70" s="670"/>
    </row>
    <row r="71">
      <c r="A71" s="663" t="s">
        <v>458</v>
      </c>
      <c r="B71" s="7"/>
      <c r="C71" s="7"/>
      <c r="D71" s="7"/>
      <c r="E71" s="7"/>
      <c r="F71" s="7"/>
      <c r="G71" s="5"/>
      <c r="H71" s="672" t="s">
        <v>459</v>
      </c>
      <c r="I71" s="7"/>
      <c r="J71" s="5"/>
      <c r="K71" s="664" t="s">
        <v>52</v>
      </c>
      <c r="L71" s="7"/>
      <c r="M71" s="7"/>
      <c r="N71" s="5"/>
      <c r="O71" s="665">
        <v>1.0</v>
      </c>
      <c r="P71" s="5"/>
      <c r="Q71" s="665">
        <v>1.0</v>
      </c>
      <c r="R71" s="7"/>
      <c r="S71" s="7"/>
      <c r="T71" s="5"/>
      <c r="U71" s="665">
        <v>1.0</v>
      </c>
      <c r="V71" s="7"/>
      <c r="W71" s="7"/>
      <c r="X71" s="5"/>
      <c r="Y71" s="666" t="s">
        <v>411</v>
      </c>
      <c r="Z71" s="7"/>
      <c r="AA71" s="7"/>
      <c r="AB71" s="5"/>
      <c r="AC71" s="667"/>
      <c r="AD71" s="7"/>
      <c r="AE71" s="5"/>
      <c r="AF71" s="667">
        <f>Modificadores!B53</f>
        <v>2</v>
      </c>
      <c r="AG71" s="7"/>
      <c r="AH71" s="7"/>
      <c r="AI71" s="673" t="s">
        <v>460</v>
      </c>
      <c r="AJ71" s="7"/>
      <c r="AK71" s="7"/>
      <c r="AL71" s="7"/>
      <c r="AM71" s="7"/>
      <c r="AN71" s="7"/>
      <c r="AO71" s="7"/>
      <c r="AP71" s="7"/>
      <c r="AQ71" s="5"/>
      <c r="AR71" s="667"/>
      <c r="AS71" s="7"/>
      <c r="AT71" s="7"/>
      <c r="AU71" s="669" t="e">
        <v>#REF!</v>
      </c>
      <c r="AV71" s="7"/>
      <c r="AW71" s="7"/>
      <c r="AX71" s="5"/>
      <c r="AY71" s="669">
        <v>1.0</v>
      </c>
      <c r="AZ71" s="7"/>
      <c r="BA71" s="7"/>
      <c r="BB71" s="5"/>
      <c r="BC71" s="670"/>
      <c r="BD71" s="670"/>
      <c r="BE71" s="670"/>
      <c r="BF71" s="670"/>
      <c r="BG71" s="670"/>
      <c r="BH71" s="670"/>
      <c r="BI71" s="670"/>
      <c r="BJ71" s="670"/>
      <c r="BK71" s="670"/>
      <c r="BL71" s="670"/>
      <c r="BM71" s="670"/>
      <c r="BN71" s="670"/>
      <c r="BO71" s="670"/>
      <c r="BP71" s="670"/>
      <c r="BQ71" s="670"/>
      <c r="BR71" s="670"/>
      <c r="BS71" s="670"/>
      <c r="BT71" s="670"/>
      <c r="BU71" s="670"/>
      <c r="BV71" s="670"/>
      <c r="BW71" s="670"/>
      <c r="BX71" s="670"/>
      <c r="BY71" s="670"/>
    </row>
    <row r="72">
      <c r="A72" s="663" t="s">
        <v>461</v>
      </c>
      <c r="B72" s="7"/>
      <c r="C72" s="7"/>
      <c r="D72" s="7"/>
      <c r="E72" s="7"/>
      <c r="F72" s="7"/>
      <c r="G72" s="5"/>
      <c r="H72" s="672" t="s">
        <v>427</v>
      </c>
      <c r="I72" s="7"/>
      <c r="J72" s="5"/>
      <c r="K72" s="664" t="s">
        <v>34</v>
      </c>
      <c r="L72" s="7"/>
      <c r="M72" s="7"/>
      <c r="N72" s="5"/>
      <c r="O72" s="665">
        <v>1.0</v>
      </c>
      <c r="P72" s="5"/>
      <c r="Q72" s="665">
        <v>1.0</v>
      </c>
      <c r="R72" s="7"/>
      <c r="S72" s="7"/>
      <c r="T72" s="5"/>
      <c r="U72" s="665">
        <v>1.0</v>
      </c>
      <c r="V72" s="7"/>
      <c r="W72" s="7"/>
      <c r="X72" s="5"/>
      <c r="Y72" s="666" t="s">
        <v>406</v>
      </c>
      <c r="Z72" s="7"/>
      <c r="AA72" s="7"/>
      <c r="AB72" s="5"/>
      <c r="AC72" s="667"/>
      <c r="AD72" s="7"/>
      <c r="AE72" s="5"/>
      <c r="AF72" s="667">
        <f>Modificadores!B53</f>
        <v>2</v>
      </c>
      <c r="AG72" s="7"/>
      <c r="AH72" s="7"/>
      <c r="AI72" s="673" t="s">
        <v>462</v>
      </c>
      <c r="AJ72" s="7"/>
      <c r="AK72" s="7"/>
      <c r="AL72" s="7"/>
      <c r="AM72" s="7"/>
      <c r="AN72" s="7"/>
      <c r="AO72" s="7"/>
      <c r="AP72" s="7"/>
      <c r="AQ72" s="5"/>
      <c r="AR72" s="667"/>
      <c r="AS72" s="7"/>
      <c r="AT72" s="7"/>
      <c r="AU72" s="669" t="e">
        <v>#REF!</v>
      </c>
      <c r="AV72" s="7"/>
      <c r="AW72" s="7"/>
      <c r="AX72" s="5"/>
      <c r="AY72" s="669">
        <v>3.0</v>
      </c>
      <c r="AZ72" s="7"/>
      <c r="BA72" s="7"/>
      <c r="BB72" s="5"/>
      <c r="BC72" s="670"/>
      <c r="BD72" s="670"/>
      <c r="BE72" s="670"/>
      <c r="BF72" s="670"/>
      <c r="BG72" s="670"/>
      <c r="BH72" s="670"/>
      <c r="BI72" s="670"/>
      <c r="BJ72" s="670"/>
      <c r="BK72" s="670"/>
      <c r="BL72" s="670"/>
      <c r="BM72" s="670"/>
      <c r="BN72" s="670"/>
      <c r="BO72" s="670"/>
      <c r="BP72" s="670"/>
      <c r="BQ72" s="670"/>
      <c r="BR72" s="670"/>
      <c r="BS72" s="670"/>
      <c r="BT72" s="670"/>
      <c r="BU72" s="670"/>
      <c r="BV72" s="670"/>
      <c r="BW72" s="670"/>
      <c r="BX72" s="670"/>
      <c r="BY72" s="670"/>
    </row>
    <row r="73">
      <c r="A73" s="663" t="s">
        <v>463</v>
      </c>
      <c r="B73" s="7"/>
      <c r="C73" s="7"/>
      <c r="D73" s="7"/>
      <c r="E73" s="7"/>
      <c r="F73" s="7"/>
      <c r="G73" s="5"/>
      <c r="H73" s="672" t="s">
        <v>405</v>
      </c>
      <c r="I73" s="7"/>
      <c r="J73" s="5"/>
      <c r="K73" s="664" t="s">
        <v>34</v>
      </c>
      <c r="L73" s="7"/>
      <c r="M73" s="7"/>
      <c r="N73" s="5"/>
      <c r="O73" s="665">
        <v>1.0</v>
      </c>
      <c r="P73" s="5"/>
      <c r="Q73" s="665">
        <v>1.0</v>
      </c>
      <c r="R73" s="7"/>
      <c r="S73" s="7"/>
      <c r="T73" s="5"/>
      <c r="U73" s="665">
        <v>1.0</v>
      </c>
      <c r="V73" s="7"/>
      <c r="W73" s="7"/>
      <c r="X73" s="5"/>
      <c r="Y73" s="666" t="s">
        <v>411</v>
      </c>
      <c r="Z73" s="7"/>
      <c r="AA73" s="7"/>
      <c r="AB73" s="5"/>
      <c r="AC73" s="667"/>
      <c r="AD73" s="7"/>
      <c r="AE73" s="5"/>
      <c r="AF73" s="667">
        <f>if(Modificadores!B53&gt;Modificadores!B55,Modificadores!B53,Modificadores!B55)</f>
        <v>4</v>
      </c>
      <c r="AG73" s="7"/>
      <c r="AH73" s="7"/>
      <c r="AI73" s="673" t="s">
        <v>464</v>
      </c>
      <c r="AJ73" s="7"/>
      <c r="AK73" s="7"/>
      <c r="AL73" s="7"/>
      <c r="AM73" s="7"/>
      <c r="AN73" s="7"/>
      <c r="AO73" s="7"/>
      <c r="AP73" s="7"/>
      <c r="AQ73" s="5"/>
      <c r="AR73" s="667"/>
      <c r="AS73" s="7"/>
      <c r="AT73" s="7"/>
      <c r="AU73" s="669" t="e">
        <v>#REF!</v>
      </c>
      <c r="AV73" s="7"/>
      <c r="AW73" s="7"/>
      <c r="AX73" s="5"/>
      <c r="AY73" s="669">
        <v>3.0</v>
      </c>
      <c r="AZ73" s="7"/>
      <c r="BA73" s="7"/>
      <c r="BB73" s="5"/>
      <c r="BC73" s="670"/>
      <c r="BD73" s="670"/>
      <c r="BE73" s="670"/>
      <c r="BF73" s="670"/>
      <c r="BG73" s="670"/>
      <c r="BH73" s="670"/>
      <c r="BI73" s="670"/>
      <c r="BJ73" s="670"/>
      <c r="BK73" s="670"/>
      <c r="BL73" s="670"/>
      <c r="BM73" s="670"/>
      <c r="BN73" s="670"/>
      <c r="BO73" s="670"/>
      <c r="BP73" s="670"/>
      <c r="BQ73" s="670"/>
      <c r="BR73" s="670"/>
      <c r="BS73" s="670"/>
      <c r="BT73" s="670"/>
      <c r="BU73" s="670"/>
      <c r="BV73" s="670"/>
      <c r="BW73" s="670"/>
      <c r="BX73" s="670"/>
      <c r="BY73" s="670"/>
    </row>
    <row r="74">
      <c r="A74" s="663" t="s">
        <v>465</v>
      </c>
      <c r="B74" s="7"/>
      <c r="C74" s="7"/>
      <c r="D74" s="7"/>
      <c r="E74" s="7"/>
      <c r="F74" s="7"/>
      <c r="G74" s="5"/>
      <c r="H74" s="672" t="s">
        <v>405</v>
      </c>
      <c r="I74" s="7"/>
      <c r="J74" s="5"/>
      <c r="K74" s="664" t="s">
        <v>34</v>
      </c>
      <c r="L74" s="7"/>
      <c r="M74" s="7"/>
      <c r="N74" s="5"/>
      <c r="O74" s="665">
        <v>1.0</v>
      </c>
      <c r="P74" s="5"/>
      <c r="Q74" s="665">
        <v>1.0</v>
      </c>
      <c r="R74" s="7"/>
      <c r="S74" s="7"/>
      <c r="T74" s="5"/>
      <c r="U74" s="665">
        <v>1.0</v>
      </c>
      <c r="V74" s="7"/>
      <c r="W74" s="7"/>
      <c r="X74" s="5"/>
      <c r="Y74" s="666" t="s">
        <v>411</v>
      </c>
      <c r="Z74" s="7"/>
      <c r="AA74" s="7"/>
      <c r="AB74" s="5"/>
      <c r="AC74" s="667"/>
      <c r="AD74" s="7"/>
      <c r="AE74" s="5"/>
      <c r="AF74" s="667">
        <f>Modificadores!B53</f>
        <v>2</v>
      </c>
      <c r="AG74" s="7"/>
      <c r="AH74" s="7"/>
      <c r="AI74" s="673" t="s">
        <v>466</v>
      </c>
      <c r="AJ74" s="7"/>
      <c r="AK74" s="7"/>
      <c r="AL74" s="7"/>
      <c r="AM74" s="7"/>
      <c r="AN74" s="7"/>
      <c r="AO74" s="7"/>
      <c r="AP74" s="7"/>
      <c r="AQ74" s="5"/>
      <c r="AR74" s="667"/>
      <c r="AS74" s="7"/>
      <c r="AT74" s="7"/>
      <c r="AU74" s="669" t="e">
        <v>#REF!</v>
      </c>
      <c r="AV74" s="7"/>
      <c r="AW74" s="7"/>
      <c r="AX74" s="5"/>
      <c r="AY74" s="669">
        <v>3.0</v>
      </c>
      <c r="AZ74" s="7"/>
      <c r="BA74" s="7"/>
      <c r="BB74" s="5"/>
      <c r="BC74" s="670"/>
      <c r="BD74" s="670"/>
      <c r="BE74" s="670"/>
      <c r="BF74" s="670"/>
      <c r="BG74" s="670"/>
      <c r="BH74" s="670"/>
      <c r="BI74" s="670"/>
      <c r="BJ74" s="670"/>
      <c r="BK74" s="670"/>
      <c r="BL74" s="670"/>
      <c r="BM74" s="670"/>
      <c r="BN74" s="670"/>
      <c r="BO74" s="670"/>
      <c r="BP74" s="670"/>
      <c r="BQ74" s="670"/>
      <c r="BR74" s="670"/>
      <c r="BS74" s="670"/>
      <c r="BT74" s="670"/>
      <c r="BU74" s="670"/>
      <c r="BV74" s="670"/>
      <c r="BW74" s="670"/>
      <c r="BX74" s="670"/>
      <c r="BY74" s="670"/>
    </row>
    <row r="75">
      <c r="A75" s="663" t="s">
        <v>467</v>
      </c>
      <c r="B75" s="7"/>
      <c r="C75" s="7"/>
      <c r="D75" s="7"/>
      <c r="E75" s="7"/>
      <c r="F75" s="7"/>
      <c r="G75" s="5"/>
      <c r="H75" s="672" t="s">
        <v>422</v>
      </c>
      <c r="I75" s="7"/>
      <c r="J75" s="5"/>
      <c r="K75" s="664" t="s">
        <v>34</v>
      </c>
      <c r="L75" s="7"/>
      <c r="M75" s="7"/>
      <c r="N75" s="5"/>
      <c r="O75" s="665">
        <v>1.0</v>
      </c>
      <c r="P75" s="5"/>
      <c r="Q75" s="665">
        <v>1.0</v>
      </c>
      <c r="R75" s="7"/>
      <c r="S75" s="7"/>
      <c r="T75" s="5"/>
      <c r="U75" s="665">
        <v>1.0</v>
      </c>
      <c r="V75" s="7"/>
      <c r="W75" s="7"/>
      <c r="X75" s="5"/>
      <c r="Y75" s="666" t="s">
        <v>399</v>
      </c>
      <c r="Z75" s="7"/>
      <c r="AA75" s="7"/>
      <c r="AB75" s="5"/>
      <c r="AC75" s="667"/>
      <c r="AD75" s="7"/>
      <c r="AE75" s="5"/>
      <c r="AF75" s="667">
        <f>Modificadores!B53</f>
        <v>2</v>
      </c>
      <c r="AG75" s="7"/>
      <c r="AH75" s="7"/>
      <c r="AI75" s="673" t="s">
        <v>468</v>
      </c>
      <c r="AJ75" s="7"/>
      <c r="AK75" s="7"/>
      <c r="AL75" s="7"/>
      <c r="AM75" s="7"/>
      <c r="AN75" s="7"/>
      <c r="AO75" s="7"/>
      <c r="AP75" s="7"/>
      <c r="AQ75" s="5"/>
      <c r="AR75" s="667"/>
      <c r="AS75" s="7"/>
      <c r="AT75" s="7"/>
      <c r="AU75" s="669" t="e">
        <v>#REF!</v>
      </c>
      <c r="AV75" s="7"/>
      <c r="AW75" s="7"/>
      <c r="AX75" s="5"/>
      <c r="AY75" s="669">
        <v>3.0</v>
      </c>
      <c r="AZ75" s="7"/>
      <c r="BA75" s="7"/>
      <c r="BB75" s="5"/>
      <c r="BC75" s="670"/>
      <c r="BD75" s="670"/>
      <c r="BE75" s="670"/>
      <c r="BF75" s="670"/>
      <c r="BG75" s="670"/>
      <c r="BH75" s="670"/>
      <c r="BI75" s="670"/>
      <c r="BJ75" s="670"/>
      <c r="BK75" s="670"/>
      <c r="BL75" s="670"/>
      <c r="BM75" s="670"/>
      <c r="BN75" s="670"/>
      <c r="BO75" s="670"/>
      <c r="BP75" s="670"/>
      <c r="BQ75" s="670"/>
      <c r="BR75" s="670"/>
      <c r="BS75" s="670"/>
      <c r="BT75" s="670"/>
      <c r="BU75" s="670"/>
      <c r="BV75" s="670"/>
      <c r="BW75" s="670"/>
      <c r="BX75" s="670"/>
      <c r="BY75" s="670"/>
    </row>
    <row r="76">
      <c r="A76" s="663" t="s">
        <v>469</v>
      </c>
      <c r="B76" s="7"/>
      <c r="C76" s="7"/>
      <c r="D76" s="7"/>
      <c r="E76" s="7"/>
      <c r="F76" s="7"/>
      <c r="G76" s="5"/>
      <c r="H76" s="672" t="s">
        <v>427</v>
      </c>
      <c r="I76" s="7"/>
      <c r="J76" s="5"/>
      <c r="K76" s="664" t="s">
        <v>34</v>
      </c>
      <c r="L76" s="7"/>
      <c r="M76" s="7"/>
      <c r="N76" s="5"/>
      <c r="O76" s="665">
        <v>1.0</v>
      </c>
      <c r="P76" s="5"/>
      <c r="Q76" s="665">
        <v>1.0</v>
      </c>
      <c r="R76" s="7"/>
      <c r="S76" s="7"/>
      <c r="T76" s="5"/>
      <c r="U76" s="665">
        <v>1.0</v>
      </c>
      <c r="V76" s="7"/>
      <c r="W76" s="7"/>
      <c r="X76" s="5"/>
      <c r="Y76" s="666" t="s">
        <v>406</v>
      </c>
      <c r="Z76" s="7"/>
      <c r="AA76" s="7"/>
      <c r="AB76" s="5"/>
      <c r="AC76" s="667"/>
      <c r="AD76" s="7"/>
      <c r="AE76" s="5"/>
      <c r="AF76" s="667">
        <f>Modificadores!B53</f>
        <v>2</v>
      </c>
      <c r="AG76" s="7"/>
      <c r="AH76" s="7"/>
      <c r="AI76" s="673" t="s">
        <v>470</v>
      </c>
      <c r="AJ76" s="7"/>
      <c r="AK76" s="7"/>
      <c r="AL76" s="7"/>
      <c r="AM76" s="7"/>
      <c r="AN76" s="7"/>
      <c r="AO76" s="7"/>
      <c r="AP76" s="7"/>
      <c r="AQ76" s="5"/>
      <c r="AR76" s="667"/>
      <c r="AS76" s="7"/>
      <c r="AT76" s="7"/>
      <c r="AU76" s="669" t="e">
        <v>#REF!</v>
      </c>
      <c r="AV76" s="7"/>
      <c r="AW76" s="7"/>
      <c r="AX76" s="5"/>
      <c r="AY76" s="669">
        <v>3.0</v>
      </c>
      <c r="AZ76" s="7"/>
      <c r="BA76" s="7"/>
      <c r="BB76" s="5"/>
      <c r="BC76" s="670"/>
      <c r="BD76" s="670"/>
      <c r="BE76" s="670"/>
      <c r="BF76" s="670"/>
      <c r="BG76" s="670"/>
      <c r="BH76" s="670"/>
      <c r="BI76" s="670"/>
      <c r="BJ76" s="670"/>
      <c r="BK76" s="670"/>
      <c r="BL76" s="670"/>
      <c r="BM76" s="670"/>
      <c r="BN76" s="670"/>
      <c r="BO76" s="670"/>
      <c r="BP76" s="670"/>
      <c r="BQ76" s="670"/>
      <c r="BR76" s="670"/>
      <c r="BS76" s="670"/>
      <c r="BT76" s="670"/>
      <c r="BU76" s="670"/>
      <c r="BV76" s="670"/>
      <c r="BW76" s="670"/>
      <c r="BX76" s="670"/>
      <c r="BY76" s="670"/>
    </row>
    <row r="77">
      <c r="A77" s="663" t="s">
        <v>471</v>
      </c>
      <c r="B77" s="7"/>
      <c r="C77" s="7"/>
      <c r="D77" s="7"/>
      <c r="E77" s="7"/>
      <c r="F77" s="7"/>
      <c r="G77" s="5"/>
      <c r="H77" s="672" t="s">
        <v>414</v>
      </c>
      <c r="I77" s="7"/>
      <c r="J77" s="5"/>
      <c r="K77" s="664" t="s">
        <v>34</v>
      </c>
      <c r="L77" s="7"/>
      <c r="M77" s="7"/>
      <c r="N77" s="5"/>
      <c r="O77" s="665">
        <v>1.0</v>
      </c>
      <c r="P77" s="5"/>
      <c r="Q77" s="665">
        <v>1.0</v>
      </c>
      <c r="R77" s="7"/>
      <c r="S77" s="7"/>
      <c r="T77" s="5"/>
      <c r="U77" s="665">
        <v>1.0</v>
      </c>
      <c r="V77" s="7"/>
      <c r="W77" s="7"/>
      <c r="X77" s="5"/>
      <c r="Y77" s="666" t="s">
        <v>399</v>
      </c>
      <c r="Z77" s="7"/>
      <c r="AA77" s="7"/>
      <c r="AB77" s="5"/>
      <c r="AC77" s="667"/>
      <c r="AD77" s="7"/>
      <c r="AE77" s="5"/>
      <c r="AF77" s="667">
        <f>Modificadores!B53</f>
        <v>2</v>
      </c>
      <c r="AG77" s="7"/>
      <c r="AH77" s="7"/>
      <c r="AI77" s="673" t="s">
        <v>472</v>
      </c>
      <c r="AJ77" s="7"/>
      <c r="AK77" s="7"/>
      <c r="AL77" s="7"/>
      <c r="AM77" s="7"/>
      <c r="AN77" s="7"/>
      <c r="AO77" s="7"/>
      <c r="AP77" s="7"/>
      <c r="AQ77" s="5"/>
      <c r="AR77" s="667"/>
      <c r="AS77" s="7"/>
      <c r="AT77" s="7"/>
      <c r="AU77" s="669" t="e">
        <v>#REF!</v>
      </c>
      <c r="AV77" s="7"/>
      <c r="AW77" s="7"/>
      <c r="AX77" s="5"/>
      <c r="AY77" s="669">
        <v>3.0</v>
      </c>
      <c r="AZ77" s="7"/>
      <c r="BA77" s="7"/>
      <c r="BB77" s="5"/>
      <c r="BC77" s="670"/>
      <c r="BD77" s="670"/>
      <c r="BE77" s="670"/>
      <c r="BF77" s="670"/>
      <c r="BG77" s="670"/>
      <c r="BH77" s="670"/>
      <c r="BI77" s="670"/>
      <c r="BJ77" s="670"/>
      <c r="BK77" s="670"/>
      <c r="BL77" s="670"/>
      <c r="BM77" s="670"/>
      <c r="BN77" s="670"/>
      <c r="BO77" s="670"/>
      <c r="BP77" s="670"/>
      <c r="BQ77" s="670"/>
      <c r="BR77" s="670"/>
      <c r="BS77" s="670"/>
      <c r="BT77" s="670"/>
      <c r="BU77" s="670"/>
      <c r="BV77" s="670"/>
      <c r="BW77" s="670"/>
      <c r="BX77" s="670"/>
      <c r="BY77" s="670"/>
    </row>
    <row r="78">
      <c r="A78" s="663" t="s">
        <v>145</v>
      </c>
      <c r="B78" s="7"/>
      <c r="C78" s="7"/>
      <c r="D78" s="7"/>
      <c r="E78" s="7"/>
      <c r="F78" s="7"/>
      <c r="G78" s="5"/>
      <c r="H78" s="672" t="s">
        <v>405</v>
      </c>
      <c r="I78" s="7"/>
      <c r="J78" s="5"/>
      <c r="K78" s="664" t="s">
        <v>34</v>
      </c>
      <c r="L78" s="7"/>
      <c r="M78" s="7"/>
      <c r="N78" s="5"/>
      <c r="O78" s="665">
        <v>1.0</v>
      </c>
      <c r="P78" s="5"/>
      <c r="Q78" s="665">
        <v>11.0</v>
      </c>
      <c r="R78" s="7"/>
      <c r="S78" s="7"/>
      <c r="T78" s="5"/>
      <c r="U78" s="665">
        <v>1.0</v>
      </c>
      <c r="V78" s="7"/>
      <c r="W78" s="7"/>
      <c r="X78" s="5"/>
      <c r="Y78" s="666" t="s">
        <v>399</v>
      </c>
      <c r="Z78" s="7"/>
      <c r="AA78" s="7"/>
      <c r="AB78" s="5"/>
      <c r="AC78" s="667"/>
      <c r="AD78" s="7"/>
      <c r="AE78" s="5"/>
      <c r="AF78" s="667">
        <f>Modificadores!B53</f>
        <v>2</v>
      </c>
      <c r="AG78" s="7"/>
      <c r="AH78" s="7"/>
      <c r="AI78" s="673" t="s">
        <v>473</v>
      </c>
      <c r="AJ78" s="7"/>
      <c r="AK78" s="7"/>
      <c r="AL78" s="7"/>
      <c r="AM78" s="7"/>
      <c r="AN78" s="7"/>
      <c r="AO78" s="7"/>
      <c r="AP78" s="7"/>
      <c r="AQ78" s="5"/>
      <c r="AR78" s="667"/>
      <c r="AS78" s="7"/>
      <c r="AT78" s="7"/>
      <c r="AU78" s="669" t="e">
        <v>#REF!</v>
      </c>
      <c r="AV78" s="7"/>
      <c r="AW78" s="7"/>
      <c r="AX78" s="5"/>
      <c r="AY78" s="669">
        <v>3.0</v>
      </c>
      <c r="AZ78" s="7"/>
      <c r="BA78" s="7"/>
      <c r="BB78" s="5"/>
      <c r="BC78" s="670"/>
      <c r="BD78" s="670"/>
      <c r="BE78" s="670"/>
      <c r="BF78" s="670"/>
      <c r="BG78" s="670"/>
      <c r="BH78" s="670"/>
      <c r="BI78" s="670"/>
      <c r="BJ78" s="670"/>
      <c r="BK78" s="670"/>
      <c r="BL78" s="670"/>
      <c r="BM78" s="670"/>
      <c r="BN78" s="670"/>
      <c r="BO78" s="670"/>
      <c r="BP78" s="670"/>
      <c r="BQ78" s="670"/>
      <c r="BR78" s="670"/>
      <c r="BS78" s="670"/>
      <c r="BT78" s="670"/>
      <c r="BU78" s="670"/>
      <c r="BV78" s="670"/>
      <c r="BW78" s="670"/>
      <c r="BX78" s="670"/>
      <c r="BY78" s="670"/>
    </row>
    <row r="79">
      <c r="A79" s="663" t="s">
        <v>474</v>
      </c>
      <c r="B79" s="7"/>
      <c r="C79" s="7"/>
      <c r="D79" s="7"/>
      <c r="E79" s="7"/>
      <c r="F79" s="7"/>
      <c r="G79" s="5"/>
      <c r="H79" s="672" t="s">
        <v>427</v>
      </c>
      <c r="I79" s="7"/>
      <c r="J79" s="5"/>
      <c r="K79" s="664" t="s">
        <v>34</v>
      </c>
      <c r="L79" s="7"/>
      <c r="M79" s="7"/>
      <c r="N79" s="5"/>
      <c r="O79" s="665">
        <v>1.0</v>
      </c>
      <c r="P79" s="5"/>
      <c r="Q79" s="665">
        <v>1.0</v>
      </c>
      <c r="R79" s="7"/>
      <c r="S79" s="7"/>
      <c r="T79" s="5"/>
      <c r="U79" s="665">
        <v>1.0</v>
      </c>
      <c r="V79" s="7"/>
      <c r="W79" s="7"/>
      <c r="X79" s="5"/>
      <c r="Y79" s="666" t="s">
        <v>406</v>
      </c>
      <c r="Z79" s="7"/>
      <c r="AA79" s="7"/>
      <c r="AB79" s="5"/>
      <c r="AC79" s="667"/>
      <c r="AD79" s="7"/>
      <c r="AE79" s="5"/>
      <c r="AF79" s="667">
        <f>Modificadores!B53</f>
        <v>2</v>
      </c>
      <c r="AG79" s="7"/>
      <c r="AH79" s="7"/>
      <c r="AI79" s="673" t="s">
        <v>475</v>
      </c>
      <c r="AJ79" s="7"/>
      <c r="AK79" s="7"/>
      <c r="AL79" s="7"/>
      <c r="AM79" s="7"/>
      <c r="AN79" s="7"/>
      <c r="AO79" s="7"/>
      <c r="AP79" s="7"/>
      <c r="AQ79" s="5"/>
      <c r="AR79" s="667"/>
      <c r="AS79" s="7"/>
      <c r="AT79" s="7"/>
      <c r="AU79" s="669" t="e">
        <v>#REF!</v>
      </c>
      <c r="AV79" s="7"/>
      <c r="AW79" s="7"/>
      <c r="AX79" s="5"/>
      <c r="AY79" s="669">
        <v>3.0</v>
      </c>
      <c r="AZ79" s="7"/>
      <c r="BA79" s="7"/>
      <c r="BB79" s="5"/>
      <c r="BC79" s="670"/>
      <c r="BD79" s="670"/>
      <c r="BE79" s="670"/>
      <c r="BF79" s="670"/>
      <c r="BG79" s="670"/>
      <c r="BH79" s="670"/>
      <c r="BI79" s="670"/>
      <c r="BJ79" s="670"/>
      <c r="BK79" s="670"/>
      <c r="BL79" s="670"/>
      <c r="BM79" s="670"/>
      <c r="BN79" s="670"/>
      <c r="BO79" s="670"/>
      <c r="BP79" s="670"/>
      <c r="BQ79" s="670"/>
      <c r="BR79" s="670"/>
      <c r="BS79" s="670"/>
      <c r="BT79" s="670"/>
      <c r="BU79" s="670"/>
      <c r="BV79" s="670"/>
      <c r="BW79" s="670"/>
      <c r="BX79" s="670"/>
      <c r="BY79" s="670"/>
    </row>
    <row r="80">
      <c r="A80" s="663" t="s">
        <v>476</v>
      </c>
      <c r="B80" s="7"/>
      <c r="C80" s="7"/>
      <c r="D80" s="7"/>
      <c r="E80" s="7"/>
      <c r="F80" s="7"/>
      <c r="G80" s="5"/>
      <c r="H80" s="664" t="s">
        <v>398</v>
      </c>
      <c r="I80" s="7"/>
      <c r="J80" s="5"/>
      <c r="K80" s="664" t="s">
        <v>52</v>
      </c>
      <c r="L80" s="7"/>
      <c r="M80" s="7"/>
      <c r="N80" s="5"/>
      <c r="O80" s="665">
        <v>1.0</v>
      </c>
      <c r="P80" s="5"/>
      <c r="Q80" s="665">
        <v>1.0</v>
      </c>
      <c r="R80" s="7"/>
      <c r="S80" s="7"/>
      <c r="T80" s="5"/>
      <c r="U80" s="665">
        <v>1.0</v>
      </c>
      <c r="V80" s="7"/>
      <c r="W80" s="7"/>
      <c r="X80" s="5"/>
      <c r="Y80" s="666" t="s">
        <v>411</v>
      </c>
      <c r="Z80" s="7"/>
      <c r="AA80" s="7"/>
      <c r="AB80" s="5"/>
      <c r="AC80" s="667"/>
      <c r="AD80" s="7"/>
      <c r="AE80" s="5"/>
      <c r="AF80" s="667">
        <f>Modificadores!B53</f>
        <v>2</v>
      </c>
      <c r="AG80" s="7"/>
      <c r="AH80" s="5"/>
      <c r="AI80" s="671" t="s">
        <v>477</v>
      </c>
      <c r="AJ80" s="7"/>
      <c r="AK80" s="7"/>
      <c r="AL80" s="7"/>
      <c r="AM80" s="7"/>
      <c r="AN80" s="7"/>
      <c r="AO80" s="7"/>
      <c r="AP80" s="7"/>
      <c r="AQ80" s="5"/>
      <c r="AR80" s="667"/>
      <c r="AS80" s="7"/>
      <c r="AT80" s="7"/>
      <c r="AU80" s="669" t="e">
        <v>#REF!</v>
      </c>
      <c r="AV80" s="7"/>
      <c r="AW80" s="7"/>
      <c r="AX80" s="5"/>
      <c r="AY80" s="669">
        <v>1.0</v>
      </c>
      <c r="AZ80" s="7"/>
      <c r="BA80" s="7"/>
      <c r="BB80" s="5"/>
      <c r="BC80" s="670"/>
      <c r="BD80" s="670"/>
      <c r="BE80" s="670"/>
      <c r="BF80" s="670"/>
      <c r="BG80" s="670"/>
      <c r="BH80" s="670"/>
      <c r="BI80" s="670"/>
      <c r="BJ80" s="670"/>
      <c r="BK80" s="670"/>
      <c r="BL80" s="670"/>
      <c r="BM80" s="670"/>
      <c r="BN80" s="670"/>
      <c r="BO80" s="670"/>
      <c r="BP80" s="670"/>
      <c r="BQ80" s="670"/>
      <c r="BR80" s="670"/>
      <c r="BS80" s="670"/>
      <c r="BT80" s="670"/>
      <c r="BU80" s="670"/>
      <c r="BV80" s="670"/>
      <c r="BW80" s="670"/>
      <c r="BX80" s="670"/>
      <c r="BY80" s="670"/>
    </row>
    <row r="81">
      <c r="A81" s="663" t="s">
        <v>478</v>
      </c>
      <c r="B81" s="7"/>
      <c r="C81" s="7"/>
      <c r="D81" s="7"/>
      <c r="E81" s="7"/>
      <c r="F81" s="7"/>
      <c r="G81" s="5"/>
      <c r="H81" s="664" t="s">
        <v>402</v>
      </c>
      <c r="I81" s="7"/>
      <c r="J81" s="5"/>
      <c r="K81" s="664" t="s">
        <v>52</v>
      </c>
      <c r="L81" s="7"/>
      <c r="M81" s="7"/>
      <c r="N81" s="5"/>
      <c r="O81" s="665">
        <v>1.0</v>
      </c>
      <c r="P81" s="5"/>
      <c r="Q81" s="665">
        <v>1.0</v>
      </c>
      <c r="R81" s="7"/>
      <c r="S81" s="7"/>
      <c r="T81" s="5"/>
      <c r="U81" s="665">
        <v>1.0</v>
      </c>
      <c r="V81" s="7"/>
      <c r="W81" s="7"/>
      <c r="X81" s="5"/>
      <c r="Y81" s="666" t="s">
        <v>399</v>
      </c>
      <c r="Z81" s="7"/>
      <c r="AA81" s="7"/>
      <c r="AB81" s="5"/>
      <c r="AC81" s="667"/>
      <c r="AD81" s="7"/>
      <c r="AE81" s="5"/>
      <c r="AF81" s="667">
        <f>Modificadores!B53</f>
        <v>2</v>
      </c>
      <c r="AG81" s="7"/>
      <c r="AH81" s="5"/>
      <c r="AI81" s="671" t="s">
        <v>479</v>
      </c>
      <c r="AJ81" s="7"/>
      <c r="AK81" s="7"/>
      <c r="AL81" s="7"/>
      <c r="AM81" s="7"/>
      <c r="AN81" s="7"/>
      <c r="AO81" s="7"/>
      <c r="AP81" s="7"/>
      <c r="AQ81" s="5"/>
      <c r="AR81" s="667"/>
      <c r="AS81" s="7"/>
      <c r="AT81" s="7"/>
      <c r="AU81" s="669" t="e">
        <v>#REF!</v>
      </c>
      <c r="AV81" s="7"/>
      <c r="AW81" s="7"/>
      <c r="AX81" s="5"/>
      <c r="AY81" s="669">
        <v>1.0</v>
      </c>
      <c r="AZ81" s="7"/>
      <c r="BA81" s="7"/>
      <c r="BB81" s="5"/>
      <c r="BC81" s="670"/>
      <c r="BD81" s="670"/>
      <c r="BE81" s="670"/>
      <c r="BF81" s="670"/>
      <c r="BG81" s="670"/>
      <c r="BH81" s="670"/>
      <c r="BI81" s="670"/>
      <c r="BJ81" s="670"/>
      <c r="BK81" s="670"/>
      <c r="BL81" s="670"/>
      <c r="BM81" s="670"/>
      <c r="BN81" s="670"/>
      <c r="BO81" s="670"/>
      <c r="BP81" s="670"/>
      <c r="BQ81" s="670"/>
      <c r="BR81" s="670"/>
      <c r="BS81" s="670"/>
      <c r="BT81" s="670"/>
      <c r="BU81" s="670"/>
      <c r="BV81" s="670"/>
      <c r="BW81" s="670"/>
      <c r="BX81" s="670"/>
      <c r="BY81" s="670"/>
    </row>
    <row r="82">
      <c r="A82" s="663" t="s">
        <v>480</v>
      </c>
      <c r="B82" s="7"/>
      <c r="C82" s="7"/>
      <c r="D82" s="7"/>
      <c r="E82" s="7"/>
      <c r="F82" s="7"/>
      <c r="G82" s="5"/>
      <c r="H82" s="672" t="s">
        <v>422</v>
      </c>
      <c r="I82" s="7"/>
      <c r="J82" s="5"/>
      <c r="K82" s="664" t="s">
        <v>34</v>
      </c>
      <c r="L82" s="7"/>
      <c r="M82" s="7"/>
      <c r="N82" s="5"/>
      <c r="O82" s="665">
        <v>1.0</v>
      </c>
      <c r="P82" s="5"/>
      <c r="Q82" s="665">
        <v>1.0</v>
      </c>
      <c r="R82" s="7"/>
      <c r="S82" s="7"/>
      <c r="T82" s="5"/>
      <c r="U82" s="665">
        <v>1.0</v>
      </c>
      <c r="V82" s="7"/>
      <c r="W82" s="7"/>
      <c r="X82" s="5"/>
      <c r="Y82" s="666" t="s">
        <v>399</v>
      </c>
      <c r="Z82" s="7"/>
      <c r="AA82" s="7"/>
      <c r="AB82" s="5"/>
      <c r="AC82" s="667"/>
      <c r="AD82" s="7"/>
      <c r="AE82" s="5"/>
      <c r="AF82" s="667">
        <f>Modificadores!B53</f>
        <v>2</v>
      </c>
      <c r="AG82" s="7"/>
      <c r="AH82" s="5"/>
      <c r="AI82" s="673" t="s">
        <v>481</v>
      </c>
      <c r="AJ82" s="7"/>
      <c r="AK82" s="7"/>
      <c r="AL82" s="7"/>
      <c r="AM82" s="7"/>
      <c r="AN82" s="7"/>
      <c r="AO82" s="7"/>
      <c r="AP82" s="7"/>
      <c r="AQ82" s="5"/>
      <c r="AR82" s="667"/>
      <c r="AS82" s="7"/>
      <c r="AT82" s="7"/>
      <c r="AU82" s="669" t="e">
        <v>#REF!</v>
      </c>
      <c r="AV82" s="7"/>
      <c r="AW82" s="7"/>
      <c r="AX82" s="5"/>
      <c r="AY82" s="669">
        <v>3.0</v>
      </c>
      <c r="AZ82" s="7"/>
      <c r="BA82" s="7"/>
      <c r="BB82" s="5"/>
      <c r="BC82" s="670"/>
      <c r="BD82" s="670"/>
      <c r="BE82" s="670"/>
      <c r="BF82" s="670"/>
      <c r="BG82" s="670"/>
      <c r="BH82" s="670"/>
      <c r="BI82" s="670"/>
      <c r="BJ82" s="670"/>
      <c r="BK82" s="670"/>
      <c r="BL82" s="670"/>
      <c r="BM82" s="670"/>
      <c r="BN82" s="670"/>
      <c r="BO82" s="670"/>
      <c r="BP82" s="670"/>
      <c r="BQ82" s="670"/>
      <c r="BR82" s="670"/>
      <c r="BS82" s="670"/>
      <c r="BT82" s="670"/>
      <c r="BU82" s="670"/>
      <c r="BV82" s="670"/>
      <c r="BW82" s="670"/>
      <c r="BX82" s="670"/>
      <c r="BY82" s="670"/>
    </row>
    <row r="83">
      <c r="A83" s="663" t="s">
        <v>482</v>
      </c>
      <c r="B83" s="7"/>
      <c r="C83" s="7"/>
      <c r="D83" s="7"/>
      <c r="E83" s="7"/>
      <c r="F83" s="7"/>
      <c r="G83" s="5"/>
      <c r="H83" s="672" t="s">
        <v>422</v>
      </c>
      <c r="I83" s="7"/>
      <c r="J83" s="5"/>
      <c r="K83" s="664" t="s">
        <v>34</v>
      </c>
      <c r="L83" s="7"/>
      <c r="M83" s="7"/>
      <c r="N83" s="5"/>
      <c r="O83" s="665">
        <v>1.0</v>
      </c>
      <c r="P83" s="5"/>
      <c r="Q83" s="665">
        <v>1.0</v>
      </c>
      <c r="R83" s="7"/>
      <c r="S83" s="7"/>
      <c r="T83" s="5"/>
      <c r="U83" s="665">
        <v>1.0</v>
      </c>
      <c r="V83" s="7"/>
      <c r="W83" s="7"/>
      <c r="X83" s="5"/>
      <c r="Y83" s="666" t="s">
        <v>406</v>
      </c>
      <c r="Z83" s="7"/>
      <c r="AA83" s="7"/>
      <c r="AB83" s="5"/>
      <c r="AC83" s="667"/>
      <c r="AD83" s="7"/>
      <c r="AE83" s="5"/>
      <c r="AF83" s="667">
        <f>Modificadores!B53</f>
        <v>2</v>
      </c>
      <c r="AG83" s="7"/>
      <c r="AH83" s="5"/>
      <c r="AI83" s="673" t="s">
        <v>483</v>
      </c>
      <c r="AJ83" s="7"/>
      <c r="AK83" s="7"/>
      <c r="AL83" s="7"/>
      <c r="AM83" s="7"/>
      <c r="AN83" s="7"/>
      <c r="AO83" s="7"/>
      <c r="AP83" s="7"/>
      <c r="AQ83" s="5"/>
      <c r="AR83" s="667"/>
      <c r="AS83" s="7"/>
      <c r="AT83" s="7"/>
      <c r="AU83" s="669" t="e">
        <v>#REF!</v>
      </c>
      <c r="AV83" s="7"/>
      <c r="AW83" s="7"/>
      <c r="AX83" s="5"/>
      <c r="AY83" s="669">
        <v>3.0</v>
      </c>
      <c r="AZ83" s="7"/>
      <c r="BA83" s="7"/>
      <c r="BB83" s="5"/>
      <c r="BC83" s="670"/>
      <c r="BD83" s="670"/>
      <c r="BE83" s="670"/>
      <c r="BF83" s="670"/>
      <c r="BG83" s="670"/>
      <c r="BH83" s="670"/>
      <c r="BI83" s="670"/>
      <c r="BJ83" s="670"/>
      <c r="BK83" s="670"/>
      <c r="BL83" s="670"/>
      <c r="BM83" s="670"/>
      <c r="BN83" s="670"/>
      <c r="BO83" s="670"/>
      <c r="BP83" s="670"/>
      <c r="BQ83" s="670"/>
      <c r="BR83" s="670"/>
      <c r="BS83" s="670"/>
      <c r="BT83" s="670"/>
      <c r="BU83" s="670"/>
      <c r="BV83" s="670"/>
      <c r="BW83" s="670"/>
      <c r="BX83" s="670"/>
      <c r="BY83" s="670"/>
    </row>
    <row r="84">
      <c r="A84" s="663" t="s">
        <v>219</v>
      </c>
      <c r="B84" s="7"/>
      <c r="C84" s="7"/>
      <c r="D84" s="7"/>
      <c r="E84" s="7"/>
      <c r="F84" s="7"/>
      <c r="G84" s="5"/>
      <c r="H84" s="672" t="s">
        <v>444</v>
      </c>
      <c r="I84" s="7"/>
      <c r="J84" s="5"/>
      <c r="K84" s="664" t="s">
        <v>34</v>
      </c>
      <c r="L84" s="7"/>
      <c r="M84" s="7"/>
      <c r="N84" s="5"/>
      <c r="O84" s="665">
        <v>1.0</v>
      </c>
      <c r="P84" s="5"/>
      <c r="Q84" s="665">
        <v>1.0</v>
      </c>
      <c r="R84" s="7"/>
      <c r="S84" s="7"/>
      <c r="T84" s="5"/>
      <c r="U84" s="665">
        <v>1.0</v>
      </c>
      <c r="V84" s="7"/>
      <c r="W84" s="7"/>
      <c r="X84" s="5"/>
      <c r="Y84" s="666" t="s">
        <v>411</v>
      </c>
      <c r="Z84" s="7"/>
      <c r="AA84" s="7"/>
      <c r="AB84" s="5"/>
      <c r="AC84" s="667"/>
      <c r="AD84" s="7"/>
      <c r="AE84" s="5"/>
      <c r="AF84" s="667">
        <f>Modificadores!B53</f>
        <v>2</v>
      </c>
      <c r="AG84" s="7"/>
      <c r="AH84" s="5"/>
      <c r="AI84" s="673" t="s">
        <v>484</v>
      </c>
      <c r="AJ84" s="7"/>
      <c r="AK84" s="7"/>
      <c r="AL84" s="7"/>
      <c r="AM84" s="7"/>
      <c r="AN84" s="7"/>
      <c r="AO84" s="7"/>
      <c r="AP84" s="7"/>
      <c r="AQ84" s="5"/>
      <c r="AR84" s="667"/>
      <c r="AS84" s="7"/>
      <c r="AT84" s="7"/>
      <c r="AU84" s="669" t="e">
        <v>#REF!</v>
      </c>
      <c r="AV84" s="7"/>
      <c r="AW84" s="7"/>
      <c r="AX84" s="5"/>
      <c r="AY84" s="669">
        <v>3.0</v>
      </c>
      <c r="AZ84" s="7"/>
      <c r="BA84" s="7"/>
      <c r="BB84" s="5"/>
      <c r="BC84" s="670"/>
      <c r="BD84" s="670"/>
      <c r="BE84" s="670"/>
      <c r="BF84" s="670"/>
      <c r="BG84" s="670"/>
      <c r="BH84" s="670"/>
      <c r="BI84" s="670"/>
      <c r="BJ84" s="670"/>
      <c r="BK84" s="670"/>
      <c r="BL84" s="670"/>
      <c r="BM84" s="670"/>
      <c r="BN84" s="670"/>
      <c r="BO84" s="670"/>
      <c r="BP84" s="670"/>
      <c r="BQ84" s="670"/>
      <c r="BR84" s="670"/>
      <c r="BS84" s="670"/>
      <c r="BT84" s="670"/>
      <c r="BU84" s="670"/>
      <c r="BV84" s="670"/>
      <c r="BW84" s="670"/>
      <c r="BX84" s="670"/>
      <c r="BY84" s="670"/>
    </row>
    <row r="85">
      <c r="A85" s="663" t="s">
        <v>485</v>
      </c>
      <c r="B85" s="7"/>
      <c r="C85" s="7"/>
      <c r="D85" s="7"/>
      <c r="E85" s="7"/>
      <c r="F85" s="7"/>
      <c r="G85" s="5"/>
      <c r="H85" s="672" t="s">
        <v>422</v>
      </c>
      <c r="I85" s="7"/>
      <c r="J85" s="5"/>
      <c r="K85" s="664" t="s">
        <v>34</v>
      </c>
      <c r="L85" s="7"/>
      <c r="M85" s="7"/>
      <c r="N85" s="5"/>
      <c r="O85" s="665">
        <v>1.0</v>
      </c>
      <c r="P85" s="5"/>
      <c r="Q85" s="665">
        <v>11.0</v>
      </c>
      <c r="R85" s="7"/>
      <c r="S85" s="7"/>
      <c r="T85" s="5"/>
      <c r="U85" s="665">
        <v>1.0</v>
      </c>
      <c r="V85" s="7"/>
      <c r="W85" s="7"/>
      <c r="X85" s="5"/>
      <c r="Y85" s="666" t="s">
        <v>411</v>
      </c>
      <c r="Z85" s="7"/>
      <c r="AA85" s="7"/>
      <c r="AB85" s="5"/>
      <c r="AC85" s="667"/>
      <c r="AD85" s="7"/>
      <c r="AE85" s="5"/>
      <c r="AF85" s="667">
        <f>Modificadores!B53</f>
        <v>2</v>
      </c>
      <c r="AG85" s="7"/>
      <c r="AH85" s="5"/>
      <c r="AI85" s="673" t="s">
        <v>486</v>
      </c>
      <c r="AJ85" s="7"/>
      <c r="AK85" s="7"/>
      <c r="AL85" s="7"/>
      <c r="AM85" s="7"/>
      <c r="AN85" s="7"/>
      <c r="AO85" s="7"/>
      <c r="AP85" s="7"/>
      <c r="AQ85" s="5"/>
      <c r="AR85" s="667"/>
      <c r="AS85" s="7"/>
      <c r="AT85" s="7"/>
      <c r="AU85" s="669" t="e">
        <v>#REF!</v>
      </c>
      <c r="AV85" s="7"/>
      <c r="AW85" s="7"/>
      <c r="AX85" s="5"/>
      <c r="AY85" s="669">
        <v>3.0</v>
      </c>
      <c r="AZ85" s="7"/>
      <c r="BA85" s="7"/>
      <c r="BB85" s="5"/>
      <c r="BC85" s="670"/>
      <c r="BD85" s="670"/>
      <c r="BE85" s="670"/>
      <c r="BF85" s="670"/>
      <c r="BG85" s="670"/>
      <c r="BH85" s="670"/>
      <c r="BI85" s="670"/>
      <c r="BJ85" s="670"/>
      <c r="BK85" s="670"/>
      <c r="BL85" s="670"/>
      <c r="BM85" s="670"/>
      <c r="BN85" s="670"/>
      <c r="BO85" s="670"/>
      <c r="BP85" s="670"/>
      <c r="BQ85" s="670"/>
      <c r="BR85" s="670"/>
      <c r="BS85" s="670"/>
      <c r="BT85" s="670"/>
      <c r="BU85" s="670"/>
      <c r="BV85" s="670"/>
      <c r="BW85" s="670"/>
      <c r="BX85" s="670"/>
      <c r="BY85" s="670"/>
    </row>
    <row r="86">
      <c r="A86" s="663" t="s">
        <v>487</v>
      </c>
      <c r="B86" s="7"/>
      <c r="C86" s="7"/>
      <c r="D86" s="7"/>
      <c r="E86" s="7"/>
      <c r="F86" s="7"/>
      <c r="G86" s="5"/>
      <c r="H86" s="493"/>
      <c r="I86" s="7"/>
      <c r="J86" s="5"/>
      <c r="K86" s="664" t="s">
        <v>52</v>
      </c>
      <c r="L86" s="7"/>
      <c r="M86" s="7"/>
      <c r="N86" s="5"/>
      <c r="O86" s="665">
        <v>1.0</v>
      </c>
      <c r="P86" s="5"/>
      <c r="Q86" s="665">
        <v>1.0</v>
      </c>
      <c r="R86" s="7"/>
      <c r="S86" s="7"/>
      <c r="T86" s="5"/>
      <c r="U86" s="665">
        <v>1.0</v>
      </c>
      <c r="V86" s="7"/>
      <c r="W86" s="7"/>
      <c r="X86" s="5"/>
      <c r="Y86" s="666" t="s">
        <v>411</v>
      </c>
      <c r="Z86" s="7"/>
      <c r="AA86" s="7"/>
      <c r="AB86" s="5"/>
      <c r="AC86" s="667"/>
      <c r="AD86" s="7"/>
      <c r="AE86" s="5"/>
      <c r="AF86" s="667">
        <f>Modificadores!B53</f>
        <v>2</v>
      </c>
      <c r="AG86" s="7"/>
      <c r="AH86" s="5"/>
      <c r="AI86" s="673" t="s">
        <v>488</v>
      </c>
      <c r="AJ86" s="7"/>
      <c r="AK86" s="7"/>
      <c r="AL86" s="7"/>
      <c r="AM86" s="7"/>
      <c r="AN86" s="7"/>
      <c r="AO86" s="7"/>
      <c r="AP86" s="7"/>
      <c r="AQ86" s="5"/>
      <c r="AR86" s="667"/>
      <c r="AS86" s="7"/>
      <c r="AT86" s="7"/>
      <c r="AU86" s="669" t="e">
        <v>#REF!</v>
      </c>
      <c r="AV86" s="7"/>
      <c r="AW86" s="7"/>
      <c r="AX86" s="5"/>
      <c r="AY86" s="669">
        <v>1.0</v>
      </c>
      <c r="AZ86" s="7"/>
      <c r="BA86" s="7"/>
      <c r="BB86" s="5"/>
      <c r="BC86" s="670"/>
      <c r="BD86" s="670"/>
      <c r="BE86" s="670"/>
      <c r="BF86" s="670"/>
      <c r="BG86" s="670"/>
      <c r="BH86" s="670"/>
      <c r="BI86" s="670"/>
      <c r="BJ86" s="670"/>
      <c r="BK86" s="670"/>
      <c r="BL86" s="670"/>
      <c r="BM86" s="670"/>
      <c r="BN86" s="670"/>
      <c r="BO86" s="670"/>
      <c r="BP86" s="670"/>
      <c r="BQ86" s="670"/>
      <c r="BR86" s="670"/>
      <c r="BS86" s="670"/>
      <c r="BT86" s="670"/>
      <c r="BU86" s="670"/>
      <c r="BV86" s="670"/>
      <c r="BW86" s="670"/>
      <c r="BX86" s="670"/>
      <c r="BY86" s="670"/>
    </row>
    <row r="87">
      <c r="A87" s="663" t="s">
        <v>489</v>
      </c>
      <c r="B87" s="7"/>
      <c r="C87" s="7"/>
      <c r="D87" s="7"/>
      <c r="E87" s="7"/>
      <c r="F87" s="7"/>
      <c r="G87" s="5"/>
      <c r="H87" s="672" t="s">
        <v>414</v>
      </c>
      <c r="I87" s="7"/>
      <c r="J87" s="5"/>
      <c r="K87" s="664" t="s">
        <v>34</v>
      </c>
      <c r="L87" s="7"/>
      <c r="M87" s="7"/>
      <c r="N87" s="5"/>
      <c r="O87" s="665">
        <v>1.0</v>
      </c>
      <c r="P87" s="5"/>
      <c r="Q87" s="665">
        <v>1.0</v>
      </c>
      <c r="R87" s="7"/>
      <c r="S87" s="7"/>
      <c r="T87" s="5"/>
      <c r="U87" s="665">
        <v>1.0</v>
      </c>
      <c r="V87" s="7"/>
      <c r="W87" s="7"/>
      <c r="X87" s="5"/>
      <c r="Y87" s="666" t="s">
        <v>411</v>
      </c>
      <c r="Z87" s="7"/>
      <c r="AA87" s="7"/>
      <c r="AB87" s="5"/>
      <c r="AC87" s="667"/>
      <c r="AD87" s="7"/>
      <c r="AE87" s="5"/>
      <c r="AF87" s="667">
        <f>Modificadores!B53</f>
        <v>2</v>
      </c>
      <c r="AG87" s="7"/>
      <c r="AH87" s="5"/>
      <c r="AI87" s="673" t="s">
        <v>490</v>
      </c>
      <c r="AJ87" s="7"/>
      <c r="AK87" s="7"/>
      <c r="AL87" s="7"/>
      <c r="AM87" s="7"/>
      <c r="AN87" s="7"/>
      <c r="AO87" s="7"/>
      <c r="AP87" s="7"/>
      <c r="AQ87" s="5"/>
      <c r="AR87" s="667"/>
      <c r="AS87" s="7"/>
      <c r="AT87" s="7"/>
      <c r="AU87" s="669" t="e">
        <v>#REF!</v>
      </c>
      <c r="AV87" s="7"/>
      <c r="AW87" s="7"/>
      <c r="AX87" s="5"/>
      <c r="AY87" s="669">
        <v>3.0</v>
      </c>
      <c r="AZ87" s="7"/>
      <c r="BA87" s="7"/>
      <c r="BB87" s="5"/>
      <c r="BC87" s="670"/>
      <c r="BD87" s="670"/>
      <c r="BE87" s="670"/>
      <c r="BF87" s="670"/>
      <c r="BG87" s="670"/>
      <c r="BH87" s="670"/>
      <c r="BI87" s="670"/>
      <c r="BJ87" s="670"/>
      <c r="BK87" s="670"/>
      <c r="BL87" s="670"/>
      <c r="BM87" s="670"/>
      <c r="BN87" s="670"/>
      <c r="BO87" s="670"/>
      <c r="BP87" s="670"/>
      <c r="BQ87" s="670"/>
      <c r="BR87" s="670"/>
      <c r="BS87" s="670"/>
      <c r="BT87" s="670"/>
      <c r="BU87" s="670"/>
      <c r="BV87" s="670"/>
      <c r="BW87" s="670"/>
      <c r="BX87" s="670"/>
      <c r="BY87" s="670"/>
    </row>
    <row r="88">
      <c r="A88" s="663" t="s">
        <v>491</v>
      </c>
      <c r="B88" s="7"/>
      <c r="C88" s="7"/>
      <c r="D88" s="7"/>
      <c r="E88" s="7"/>
      <c r="F88" s="7"/>
      <c r="G88" s="5"/>
      <c r="H88" s="672" t="s">
        <v>492</v>
      </c>
      <c r="I88" s="7"/>
      <c r="J88" s="5"/>
      <c r="K88" s="664" t="s">
        <v>34</v>
      </c>
      <c r="L88" s="7"/>
      <c r="M88" s="7"/>
      <c r="N88" s="5"/>
      <c r="O88" s="665">
        <v>1.0</v>
      </c>
      <c r="P88" s="5"/>
      <c r="Q88" s="665">
        <v>1.0</v>
      </c>
      <c r="R88" s="7"/>
      <c r="S88" s="7"/>
      <c r="T88" s="5"/>
      <c r="U88" s="665">
        <v>1.0</v>
      </c>
      <c r="V88" s="7"/>
      <c r="W88" s="7"/>
      <c r="X88" s="5"/>
      <c r="Y88" s="666" t="s">
        <v>411</v>
      </c>
      <c r="Z88" s="7"/>
      <c r="AA88" s="7"/>
      <c r="AB88" s="5"/>
      <c r="AC88" s="667"/>
      <c r="AD88" s="7"/>
      <c r="AE88" s="5"/>
      <c r="AF88" s="667">
        <f>Modificadores!B53</f>
        <v>2</v>
      </c>
      <c r="AG88" s="7"/>
      <c r="AH88" s="5"/>
      <c r="AI88" s="673" t="s">
        <v>468</v>
      </c>
      <c r="AJ88" s="7"/>
      <c r="AK88" s="7"/>
      <c r="AL88" s="7"/>
      <c r="AM88" s="7"/>
      <c r="AN88" s="7"/>
      <c r="AO88" s="7"/>
      <c r="AP88" s="7"/>
      <c r="AQ88" s="5"/>
      <c r="AR88" s="667"/>
      <c r="AS88" s="7"/>
      <c r="AT88" s="7"/>
      <c r="AU88" s="669" t="e">
        <v>#REF!</v>
      </c>
      <c r="AV88" s="7"/>
      <c r="AW88" s="7"/>
      <c r="AX88" s="5"/>
      <c r="AY88" s="669">
        <v>3.0</v>
      </c>
      <c r="AZ88" s="7"/>
      <c r="BA88" s="7"/>
      <c r="BB88" s="5"/>
      <c r="BC88" s="670"/>
      <c r="BD88" s="670"/>
      <c r="BE88" s="670"/>
      <c r="BF88" s="670"/>
      <c r="BG88" s="670"/>
      <c r="BH88" s="670"/>
      <c r="BI88" s="670"/>
      <c r="BJ88" s="670"/>
      <c r="BK88" s="670"/>
      <c r="BL88" s="670"/>
      <c r="BM88" s="670"/>
      <c r="BN88" s="670"/>
      <c r="BO88" s="670"/>
      <c r="BP88" s="670"/>
      <c r="BQ88" s="670"/>
      <c r="BR88" s="670"/>
      <c r="BS88" s="670"/>
      <c r="BT88" s="670"/>
      <c r="BU88" s="670"/>
      <c r="BV88" s="670"/>
      <c r="BW88" s="670"/>
      <c r="BX88" s="670"/>
      <c r="BY88" s="670"/>
    </row>
    <row r="89">
      <c r="A89" s="663" t="s">
        <v>493</v>
      </c>
      <c r="B89" s="7"/>
      <c r="C89" s="7"/>
      <c r="D89" s="7"/>
      <c r="E89" s="7"/>
      <c r="F89" s="7"/>
      <c r="G89" s="5"/>
      <c r="H89" s="672" t="s">
        <v>494</v>
      </c>
      <c r="I89" s="7"/>
      <c r="J89" s="5"/>
      <c r="K89" s="664" t="s">
        <v>34</v>
      </c>
      <c r="L89" s="7"/>
      <c r="M89" s="7"/>
      <c r="N89" s="5"/>
      <c r="O89" s="665">
        <v>1.0</v>
      </c>
      <c r="P89" s="5"/>
      <c r="Q89" s="665">
        <v>1.0</v>
      </c>
      <c r="R89" s="7"/>
      <c r="S89" s="7"/>
      <c r="T89" s="5"/>
      <c r="U89" s="665">
        <v>1.0</v>
      </c>
      <c r="V89" s="7"/>
      <c r="W89" s="7"/>
      <c r="X89" s="5"/>
      <c r="Y89" s="666" t="s">
        <v>411</v>
      </c>
      <c r="Z89" s="7"/>
      <c r="AA89" s="7"/>
      <c r="AB89" s="5"/>
      <c r="AC89" s="667"/>
      <c r="AD89" s="7"/>
      <c r="AE89" s="5"/>
      <c r="AF89" s="667">
        <f>Modificadores!B53</f>
        <v>2</v>
      </c>
      <c r="AG89" s="7"/>
      <c r="AH89" s="5"/>
      <c r="AI89" s="673" t="s">
        <v>495</v>
      </c>
      <c r="AJ89" s="7"/>
      <c r="AK89" s="7"/>
      <c r="AL89" s="7"/>
      <c r="AM89" s="7"/>
      <c r="AN89" s="7"/>
      <c r="AO89" s="7"/>
      <c r="AP89" s="7"/>
      <c r="AQ89" s="5"/>
      <c r="AR89" s="667"/>
      <c r="AS89" s="7"/>
      <c r="AT89" s="7"/>
      <c r="AU89" s="669" t="e">
        <v>#REF!</v>
      </c>
      <c r="AV89" s="7"/>
      <c r="AW89" s="7"/>
      <c r="AX89" s="5"/>
      <c r="AY89" s="669">
        <v>3.0</v>
      </c>
      <c r="AZ89" s="7"/>
      <c r="BA89" s="7"/>
      <c r="BB89" s="5"/>
      <c r="BC89" s="670"/>
      <c r="BD89" s="670"/>
      <c r="BE89" s="670"/>
      <c r="BF89" s="670"/>
      <c r="BG89" s="670"/>
      <c r="BH89" s="670"/>
      <c r="BI89" s="670"/>
      <c r="BJ89" s="670"/>
      <c r="BK89" s="670"/>
      <c r="BL89" s="670"/>
      <c r="BM89" s="670"/>
      <c r="BN89" s="670"/>
      <c r="BO89" s="670"/>
      <c r="BP89" s="670"/>
      <c r="BQ89" s="670"/>
      <c r="BR89" s="670"/>
      <c r="BS89" s="670"/>
      <c r="BT89" s="670"/>
      <c r="BU89" s="670"/>
      <c r="BV89" s="670"/>
      <c r="BW89" s="670"/>
      <c r="BX89" s="670"/>
      <c r="BY89" s="670"/>
    </row>
    <row r="90">
      <c r="A90" s="663" t="s">
        <v>496</v>
      </c>
      <c r="B90" s="7"/>
      <c r="C90" s="7"/>
      <c r="D90" s="7"/>
      <c r="E90" s="7"/>
      <c r="F90" s="7"/>
      <c r="G90" s="5"/>
      <c r="H90" s="672" t="s">
        <v>414</v>
      </c>
      <c r="I90" s="7"/>
      <c r="J90" s="5"/>
      <c r="K90" s="664" t="s">
        <v>34</v>
      </c>
      <c r="L90" s="7"/>
      <c r="M90" s="7"/>
      <c r="N90" s="5"/>
      <c r="O90" s="665">
        <v>1.0</v>
      </c>
      <c r="P90" s="5"/>
      <c r="Q90" s="665">
        <v>1.0</v>
      </c>
      <c r="R90" s="7"/>
      <c r="S90" s="7"/>
      <c r="T90" s="5"/>
      <c r="U90" s="665">
        <v>1.0</v>
      </c>
      <c r="V90" s="7"/>
      <c r="W90" s="7"/>
      <c r="X90" s="5"/>
      <c r="Y90" s="666" t="s">
        <v>406</v>
      </c>
      <c r="Z90" s="7"/>
      <c r="AA90" s="7"/>
      <c r="AB90" s="5"/>
      <c r="AC90" s="667"/>
      <c r="AD90" s="7"/>
      <c r="AE90" s="5"/>
      <c r="AF90" s="667">
        <f>Modificadores!B53</f>
        <v>2</v>
      </c>
      <c r="AG90" s="7"/>
      <c r="AH90" s="5"/>
      <c r="AI90" s="673" t="s">
        <v>497</v>
      </c>
      <c r="AJ90" s="7"/>
      <c r="AK90" s="7"/>
      <c r="AL90" s="7"/>
      <c r="AM90" s="7"/>
      <c r="AN90" s="7"/>
      <c r="AO90" s="7"/>
      <c r="AP90" s="7"/>
      <c r="AQ90" s="5"/>
      <c r="AR90" s="667"/>
      <c r="AS90" s="7"/>
      <c r="AT90" s="7"/>
      <c r="AU90" s="669" t="e">
        <v>#REF!</v>
      </c>
      <c r="AV90" s="7"/>
      <c r="AW90" s="7"/>
      <c r="AX90" s="5"/>
      <c r="AY90" s="669">
        <v>3.0</v>
      </c>
      <c r="AZ90" s="7"/>
      <c r="BA90" s="7"/>
      <c r="BB90" s="5"/>
      <c r="BC90" s="670"/>
      <c r="BD90" s="670"/>
      <c r="BE90" s="670"/>
      <c r="BF90" s="670"/>
      <c r="BG90" s="670"/>
      <c r="BH90" s="670"/>
      <c r="BI90" s="670"/>
      <c r="BJ90" s="670"/>
      <c r="BK90" s="670"/>
      <c r="BL90" s="670"/>
      <c r="BM90" s="670"/>
      <c r="BN90" s="670"/>
      <c r="BO90" s="670"/>
      <c r="BP90" s="670"/>
      <c r="BQ90" s="670"/>
      <c r="BR90" s="670"/>
      <c r="BS90" s="670"/>
      <c r="BT90" s="670"/>
      <c r="BU90" s="670"/>
      <c r="BV90" s="670"/>
      <c r="BW90" s="670"/>
      <c r="BX90" s="670"/>
      <c r="BY90" s="670"/>
    </row>
    <row r="91">
      <c r="A91" s="663" t="s">
        <v>498</v>
      </c>
      <c r="B91" s="7"/>
      <c r="C91" s="7"/>
      <c r="D91" s="7"/>
      <c r="E91" s="7"/>
      <c r="F91" s="7"/>
      <c r="G91" s="5"/>
      <c r="H91" s="672" t="s">
        <v>427</v>
      </c>
      <c r="I91" s="7"/>
      <c r="J91" s="5"/>
      <c r="K91" s="664" t="s">
        <v>34</v>
      </c>
      <c r="L91" s="7"/>
      <c r="M91" s="7"/>
      <c r="N91" s="5"/>
      <c r="O91" s="665">
        <v>1.0</v>
      </c>
      <c r="P91" s="5"/>
      <c r="Q91" s="665">
        <v>1.0</v>
      </c>
      <c r="R91" s="7"/>
      <c r="S91" s="7"/>
      <c r="T91" s="5"/>
      <c r="U91" s="665">
        <v>1.0</v>
      </c>
      <c r="V91" s="7"/>
      <c r="W91" s="7"/>
      <c r="X91" s="5"/>
      <c r="Y91" s="666" t="s">
        <v>411</v>
      </c>
      <c r="Z91" s="7"/>
      <c r="AA91" s="7"/>
      <c r="AB91" s="5"/>
      <c r="AC91" s="667"/>
      <c r="AD91" s="7"/>
      <c r="AE91" s="5"/>
      <c r="AF91" s="667">
        <f>Modificadores!B53</f>
        <v>2</v>
      </c>
      <c r="AG91" s="7"/>
      <c r="AH91" s="5"/>
      <c r="AI91" s="673" t="s">
        <v>497</v>
      </c>
      <c r="AJ91" s="7"/>
      <c r="AK91" s="7"/>
      <c r="AL91" s="7"/>
      <c r="AM91" s="7"/>
      <c r="AN91" s="7"/>
      <c r="AO91" s="7"/>
      <c r="AP91" s="7"/>
      <c r="AQ91" s="5"/>
      <c r="AR91" s="667"/>
      <c r="AS91" s="7"/>
      <c r="AT91" s="7"/>
      <c r="AU91" s="669" t="e">
        <v>#REF!</v>
      </c>
      <c r="AV91" s="7"/>
      <c r="AW91" s="7"/>
      <c r="AX91" s="5"/>
      <c r="AY91" s="669">
        <v>3.0</v>
      </c>
      <c r="AZ91" s="7"/>
      <c r="BA91" s="7"/>
      <c r="BB91" s="5"/>
      <c r="BC91" s="670"/>
      <c r="BD91" s="670"/>
      <c r="BE91" s="670"/>
      <c r="BF91" s="670"/>
      <c r="BG91" s="670"/>
      <c r="BH91" s="670"/>
      <c r="BI91" s="670"/>
      <c r="BJ91" s="670"/>
      <c r="BK91" s="670"/>
      <c r="BL91" s="670"/>
      <c r="BM91" s="670"/>
      <c r="BN91" s="670"/>
      <c r="BO91" s="670"/>
      <c r="BP91" s="670"/>
      <c r="BQ91" s="670"/>
      <c r="BR91" s="670"/>
      <c r="BS91" s="670"/>
      <c r="BT91" s="670"/>
      <c r="BU91" s="670"/>
      <c r="BV91" s="670"/>
      <c r="BW91" s="670"/>
      <c r="BX91" s="670"/>
      <c r="BY91" s="670"/>
    </row>
    <row r="92">
      <c r="A92" s="663" t="s">
        <v>499</v>
      </c>
      <c r="B92" s="7"/>
      <c r="C92" s="7"/>
      <c r="D92" s="7"/>
      <c r="E92" s="7"/>
      <c r="F92" s="7"/>
      <c r="G92" s="5"/>
      <c r="H92" s="664" t="s">
        <v>405</v>
      </c>
      <c r="I92" s="7"/>
      <c r="J92" s="5"/>
      <c r="K92" s="664" t="s">
        <v>34</v>
      </c>
      <c r="L92" s="7"/>
      <c r="M92" s="7"/>
      <c r="N92" s="5"/>
      <c r="O92" s="665">
        <v>1.0</v>
      </c>
      <c r="P92" s="5"/>
      <c r="Q92" s="665">
        <v>1.0</v>
      </c>
      <c r="R92" s="7"/>
      <c r="S92" s="7"/>
      <c r="T92" s="5"/>
      <c r="U92" s="665">
        <v>1.0</v>
      </c>
      <c r="V92" s="7"/>
      <c r="W92" s="7"/>
      <c r="X92" s="5"/>
      <c r="Y92" s="666" t="s">
        <v>411</v>
      </c>
      <c r="Z92" s="7"/>
      <c r="AA92" s="7"/>
      <c r="AB92" s="5"/>
      <c r="AC92" s="667"/>
      <c r="AD92" s="7"/>
      <c r="AE92" s="5"/>
      <c r="AF92" s="667">
        <f>Modificadores!B53</f>
        <v>2</v>
      </c>
      <c r="AG92" s="7"/>
      <c r="AH92" s="5"/>
      <c r="AI92" s="671" t="s">
        <v>500</v>
      </c>
      <c r="AJ92" s="7"/>
      <c r="AK92" s="7"/>
      <c r="AL92" s="7"/>
      <c r="AM92" s="7"/>
      <c r="AN92" s="7"/>
      <c r="AO92" s="7"/>
      <c r="AP92" s="7"/>
      <c r="AQ92" s="5"/>
      <c r="AR92" s="667"/>
      <c r="AS92" s="7"/>
      <c r="AT92" s="7"/>
      <c r="AU92" s="669" t="e">
        <v>#REF!</v>
      </c>
      <c r="AV92" s="7"/>
      <c r="AW92" s="7"/>
      <c r="AX92" s="5"/>
      <c r="AY92" s="669">
        <v>3.0</v>
      </c>
      <c r="AZ92" s="7"/>
      <c r="BA92" s="7"/>
      <c r="BB92" s="5"/>
      <c r="BC92" s="670"/>
      <c r="BD92" s="670"/>
      <c r="BE92" s="670"/>
      <c r="BF92" s="670"/>
      <c r="BG92" s="670"/>
      <c r="BH92" s="670"/>
      <c r="BI92" s="670"/>
      <c r="BJ92" s="670"/>
      <c r="BK92" s="670"/>
      <c r="BL92" s="670"/>
      <c r="BM92" s="670"/>
      <c r="BN92" s="670"/>
      <c r="BO92" s="670"/>
      <c r="BP92" s="670"/>
      <c r="BQ92" s="670"/>
      <c r="BR92" s="670"/>
      <c r="BS92" s="670"/>
      <c r="BT92" s="670"/>
      <c r="BU92" s="670"/>
      <c r="BV92" s="670"/>
      <c r="BW92" s="670"/>
      <c r="BX92" s="670"/>
      <c r="BY92" s="670"/>
    </row>
    <row r="93">
      <c r="A93" s="663" t="s">
        <v>501</v>
      </c>
      <c r="B93" s="7"/>
      <c r="C93" s="7"/>
      <c r="D93" s="7"/>
      <c r="E93" s="7"/>
      <c r="F93" s="7"/>
      <c r="G93" s="5"/>
      <c r="H93" s="664" t="s">
        <v>422</v>
      </c>
      <c r="I93" s="7"/>
      <c r="J93" s="5"/>
      <c r="K93" s="664" t="s">
        <v>34</v>
      </c>
      <c r="L93" s="7"/>
      <c r="M93" s="7"/>
      <c r="N93" s="5"/>
      <c r="O93" s="665">
        <v>1.0</v>
      </c>
      <c r="P93" s="5"/>
      <c r="Q93" s="665">
        <v>1.0</v>
      </c>
      <c r="R93" s="7"/>
      <c r="S93" s="7"/>
      <c r="T93" s="5"/>
      <c r="U93" s="665">
        <v>1.0</v>
      </c>
      <c r="V93" s="7"/>
      <c r="W93" s="7"/>
      <c r="X93" s="5"/>
      <c r="Y93" s="666" t="s">
        <v>411</v>
      </c>
      <c r="Z93" s="7"/>
      <c r="AA93" s="7"/>
      <c r="AB93" s="5"/>
      <c r="AC93" s="667"/>
      <c r="AD93" s="7"/>
      <c r="AE93" s="5"/>
      <c r="AF93" s="667">
        <f>Modificadores!B53</f>
        <v>2</v>
      </c>
      <c r="AG93" s="7"/>
      <c r="AH93" s="5"/>
      <c r="AI93" s="671" t="s">
        <v>502</v>
      </c>
      <c r="AJ93" s="7"/>
      <c r="AK93" s="7"/>
      <c r="AL93" s="7"/>
      <c r="AM93" s="7"/>
      <c r="AN93" s="7"/>
      <c r="AO93" s="7"/>
      <c r="AP93" s="7"/>
      <c r="AQ93" s="5"/>
      <c r="AR93" s="667"/>
      <c r="AS93" s="7"/>
      <c r="AT93" s="7"/>
      <c r="AU93" s="669" t="e">
        <v>#REF!</v>
      </c>
      <c r="AV93" s="7"/>
      <c r="AW93" s="7"/>
      <c r="AX93" s="5"/>
      <c r="AY93" s="669">
        <v>3.0</v>
      </c>
      <c r="AZ93" s="7"/>
      <c r="BA93" s="7"/>
      <c r="BB93" s="5"/>
      <c r="BC93" s="670"/>
      <c r="BD93" s="670"/>
      <c r="BE93" s="670"/>
      <c r="BF93" s="670"/>
      <c r="BG93" s="670"/>
      <c r="BH93" s="670"/>
      <c r="BI93" s="670"/>
      <c r="BJ93" s="670"/>
      <c r="BK93" s="670"/>
      <c r="BL93" s="670"/>
      <c r="BM93" s="670"/>
      <c r="BN93" s="670"/>
      <c r="BO93" s="670"/>
      <c r="BP93" s="670"/>
      <c r="BQ93" s="670"/>
      <c r="BR93" s="670"/>
      <c r="BS93" s="670"/>
      <c r="BT93" s="670"/>
      <c r="BU93" s="670"/>
      <c r="BV93" s="670"/>
      <c r="BW93" s="670"/>
      <c r="BX93" s="670"/>
      <c r="BY93" s="670"/>
    </row>
    <row r="94">
      <c r="A94" s="663" t="s">
        <v>503</v>
      </c>
      <c r="B94" s="7"/>
      <c r="C94" s="7"/>
      <c r="D94" s="7"/>
      <c r="E94" s="7"/>
      <c r="F94" s="7"/>
      <c r="G94" s="5"/>
      <c r="H94" s="672" t="s">
        <v>422</v>
      </c>
      <c r="I94" s="7"/>
      <c r="J94" s="5"/>
      <c r="K94" s="664" t="s">
        <v>34</v>
      </c>
      <c r="L94" s="7"/>
      <c r="M94" s="7"/>
      <c r="N94" s="5"/>
      <c r="O94" s="665">
        <v>1.0</v>
      </c>
      <c r="P94" s="5"/>
      <c r="Q94" s="665">
        <v>1.0</v>
      </c>
      <c r="R94" s="7"/>
      <c r="S94" s="7"/>
      <c r="T94" s="5"/>
      <c r="U94" s="665">
        <v>1.0</v>
      </c>
      <c r="V94" s="7"/>
      <c r="W94" s="7"/>
      <c r="X94" s="5"/>
      <c r="Y94" s="666" t="s">
        <v>411</v>
      </c>
      <c r="Z94" s="7"/>
      <c r="AA94" s="7"/>
      <c r="AB94" s="5"/>
      <c r="AC94" s="667"/>
      <c r="AD94" s="7"/>
      <c r="AE94" s="5"/>
      <c r="AF94" s="667">
        <f>Modificadores!B53</f>
        <v>2</v>
      </c>
      <c r="AG94" s="7"/>
      <c r="AH94" s="5"/>
      <c r="AI94" s="673" t="s">
        <v>504</v>
      </c>
      <c r="AJ94" s="7"/>
      <c r="AK94" s="7"/>
      <c r="AL94" s="7"/>
      <c r="AM94" s="7"/>
      <c r="AN94" s="7"/>
      <c r="AO94" s="7"/>
      <c r="AP94" s="7"/>
      <c r="AQ94" s="5"/>
      <c r="AR94" s="667"/>
      <c r="AS94" s="7"/>
      <c r="AT94" s="7"/>
      <c r="AU94" s="669" t="e">
        <v>#REF!</v>
      </c>
      <c r="AV94" s="7"/>
      <c r="AW94" s="7"/>
      <c r="AX94" s="5"/>
      <c r="AY94" s="669">
        <v>3.0</v>
      </c>
      <c r="AZ94" s="7"/>
      <c r="BA94" s="7"/>
      <c r="BB94" s="5"/>
      <c r="BC94" s="670"/>
      <c r="BD94" s="670"/>
      <c r="BE94" s="670"/>
      <c r="BF94" s="670"/>
      <c r="BG94" s="670"/>
      <c r="BH94" s="670"/>
      <c r="BI94" s="670"/>
      <c r="BJ94" s="670"/>
      <c r="BK94" s="670"/>
      <c r="BL94" s="670"/>
      <c r="BM94" s="670"/>
      <c r="BN94" s="670"/>
      <c r="BO94" s="670"/>
      <c r="BP94" s="670"/>
      <c r="BQ94" s="670"/>
      <c r="BR94" s="670"/>
      <c r="BS94" s="670"/>
      <c r="BT94" s="670"/>
      <c r="BU94" s="670"/>
      <c r="BV94" s="670"/>
      <c r="BW94" s="670"/>
      <c r="BX94" s="670"/>
      <c r="BY94" s="670"/>
    </row>
    <row r="95">
      <c r="A95" s="663" t="s">
        <v>505</v>
      </c>
      <c r="B95" s="7"/>
      <c r="C95" s="7"/>
      <c r="D95" s="7"/>
      <c r="E95" s="7"/>
      <c r="F95" s="7"/>
      <c r="G95" s="5"/>
      <c r="H95" s="672" t="s">
        <v>427</v>
      </c>
      <c r="I95" s="7"/>
      <c r="J95" s="5"/>
      <c r="K95" s="664" t="s">
        <v>34</v>
      </c>
      <c r="L95" s="7"/>
      <c r="M95" s="7"/>
      <c r="N95" s="5"/>
      <c r="O95" s="665">
        <v>1.0</v>
      </c>
      <c r="P95" s="5"/>
      <c r="Q95" s="665">
        <v>1.0</v>
      </c>
      <c r="R95" s="7"/>
      <c r="S95" s="7"/>
      <c r="T95" s="5"/>
      <c r="U95" s="665">
        <v>1.0</v>
      </c>
      <c r="V95" s="7"/>
      <c r="W95" s="7"/>
      <c r="X95" s="5"/>
      <c r="Y95" s="666" t="s">
        <v>406</v>
      </c>
      <c r="Z95" s="7"/>
      <c r="AA95" s="7"/>
      <c r="AB95" s="5"/>
      <c r="AC95" s="667"/>
      <c r="AD95" s="7"/>
      <c r="AE95" s="5"/>
      <c r="AF95" s="667">
        <f>Modificadores!B53</f>
        <v>2</v>
      </c>
      <c r="AG95" s="7"/>
      <c r="AH95" s="5"/>
      <c r="AI95" s="673" t="s">
        <v>506</v>
      </c>
      <c r="AJ95" s="7"/>
      <c r="AK95" s="7"/>
      <c r="AL95" s="7"/>
      <c r="AM95" s="7"/>
      <c r="AN95" s="7"/>
      <c r="AO95" s="7"/>
      <c r="AP95" s="7"/>
      <c r="AQ95" s="5"/>
      <c r="AR95" s="667"/>
      <c r="AS95" s="7"/>
      <c r="AT95" s="7"/>
      <c r="AU95" s="669" t="e">
        <v>#REF!</v>
      </c>
      <c r="AV95" s="7"/>
      <c r="AW95" s="7"/>
      <c r="AX95" s="5"/>
      <c r="AY95" s="669">
        <v>3.0</v>
      </c>
      <c r="AZ95" s="7"/>
      <c r="BA95" s="7"/>
      <c r="BB95" s="5"/>
      <c r="BC95" s="670"/>
      <c r="BD95" s="670"/>
      <c r="BE95" s="670"/>
      <c r="BF95" s="670"/>
      <c r="BG95" s="670"/>
      <c r="BH95" s="670"/>
      <c r="BI95" s="670"/>
      <c r="BJ95" s="670"/>
      <c r="BK95" s="670"/>
      <c r="BL95" s="670"/>
      <c r="BM95" s="670"/>
      <c r="BN95" s="670"/>
      <c r="BO95" s="670"/>
      <c r="BP95" s="670"/>
      <c r="BQ95" s="670"/>
      <c r="BR95" s="670"/>
      <c r="BS95" s="670"/>
      <c r="BT95" s="670"/>
      <c r="BU95" s="670"/>
      <c r="BV95" s="670"/>
      <c r="BW95" s="670"/>
      <c r="BX95" s="670"/>
      <c r="BY95" s="670"/>
    </row>
    <row r="96">
      <c r="A96" s="663" t="s">
        <v>220</v>
      </c>
      <c r="B96" s="7"/>
      <c r="C96" s="7"/>
      <c r="D96" s="7"/>
      <c r="E96" s="7"/>
      <c r="F96" s="7"/>
      <c r="G96" s="5"/>
      <c r="H96" s="672" t="s">
        <v>405</v>
      </c>
      <c r="I96" s="7"/>
      <c r="J96" s="5"/>
      <c r="K96" s="664" t="s">
        <v>34</v>
      </c>
      <c r="L96" s="7"/>
      <c r="M96" s="7"/>
      <c r="N96" s="5"/>
      <c r="O96" s="665">
        <v>1.0</v>
      </c>
      <c r="P96" s="5"/>
      <c r="Q96" s="665">
        <v>1.0</v>
      </c>
      <c r="R96" s="7"/>
      <c r="S96" s="7"/>
      <c r="T96" s="5"/>
      <c r="U96" s="665">
        <v>1.0</v>
      </c>
      <c r="V96" s="7"/>
      <c r="W96" s="7"/>
      <c r="X96" s="5"/>
      <c r="Y96" s="666" t="s">
        <v>399</v>
      </c>
      <c r="Z96" s="7"/>
      <c r="AA96" s="7"/>
      <c r="AB96" s="5"/>
      <c r="AC96" s="667"/>
      <c r="AD96" s="7"/>
      <c r="AE96" s="5"/>
      <c r="AF96" s="667">
        <f>Modificadores!B53</f>
        <v>2</v>
      </c>
      <c r="AG96" s="7"/>
      <c r="AH96" s="5"/>
      <c r="AI96" s="673" t="s">
        <v>507</v>
      </c>
      <c r="AJ96" s="7"/>
      <c r="AK96" s="7"/>
      <c r="AL96" s="7"/>
      <c r="AM96" s="7"/>
      <c r="AN96" s="7"/>
      <c r="AO96" s="7"/>
      <c r="AP96" s="7"/>
      <c r="AQ96" s="5"/>
      <c r="AR96" s="667"/>
      <c r="AS96" s="7"/>
      <c r="AT96" s="7"/>
      <c r="AU96" s="669" t="e">
        <v>#REF!</v>
      </c>
      <c r="AV96" s="7"/>
      <c r="AW96" s="7"/>
      <c r="AX96" s="5"/>
      <c r="AY96" s="669">
        <v>3.0</v>
      </c>
      <c r="AZ96" s="7"/>
      <c r="BA96" s="7"/>
      <c r="BB96" s="5"/>
      <c r="BC96" s="670"/>
      <c r="BD96" s="670"/>
      <c r="BE96" s="670"/>
      <c r="BF96" s="670"/>
      <c r="BG96" s="670"/>
      <c r="BH96" s="670"/>
      <c r="BI96" s="670"/>
      <c r="BJ96" s="670"/>
      <c r="BK96" s="670"/>
      <c r="BL96" s="670"/>
      <c r="BM96" s="670"/>
      <c r="BN96" s="670"/>
      <c r="BO96" s="670"/>
      <c r="BP96" s="670"/>
      <c r="BQ96" s="670"/>
      <c r="BR96" s="670"/>
      <c r="BS96" s="670"/>
      <c r="BT96" s="670"/>
      <c r="BU96" s="670"/>
      <c r="BV96" s="670"/>
      <c r="BW96" s="670"/>
      <c r="BX96" s="670"/>
      <c r="BY96" s="670"/>
    </row>
    <row r="97">
      <c r="A97" s="663" t="s">
        <v>508</v>
      </c>
      <c r="B97" s="7"/>
      <c r="C97" s="7"/>
      <c r="D97" s="7"/>
      <c r="E97" s="7"/>
      <c r="F97" s="7"/>
      <c r="G97" s="5"/>
      <c r="H97" s="672" t="s">
        <v>414</v>
      </c>
      <c r="I97" s="7"/>
      <c r="J97" s="5"/>
      <c r="K97" s="664" t="s">
        <v>34</v>
      </c>
      <c r="L97" s="7"/>
      <c r="M97" s="7"/>
      <c r="N97" s="5"/>
      <c r="O97" s="665">
        <v>1.0</v>
      </c>
      <c r="P97" s="5"/>
      <c r="Q97" s="665">
        <v>1.0</v>
      </c>
      <c r="R97" s="7"/>
      <c r="S97" s="7"/>
      <c r="T97" s="5"/>
      <c r="U97" s="665">
        <v>1.0</v>
      </c>
      <c r="V97" s="7"/>
      <c r="W97" s="7"/>
      <c r="X97" s="5"/>
      <c r="Y97" s="666" t="s">
        <v>411</v>
      </c>
      <c r="Z97" s="7"/>
      <c r="AA97" s="7"/>
      <c r="AB97" s="5"/>
      <c r="AC97" s="667"/>
      <c r="AD97" s="7"/>
      <c r="AE97" s="5"/>
      <c r="AF97" s="667">
        <f>Modificadores!B53</f>
        <v>2</v>
      </c>
      <c r="AG97" s="7"/>
      <c r="AH97" s="5"/>
      <c r="AI97" s="673" t="s">
        <v>509</v>
      </c>
      <c r="AJ97" s="7"/>
      <c r="AK97" s="7"/>
      <c r="AL97" s="7"/>
      <c r="AM97" s="7"/>
      <c r="AN97" s="7"/>
      <c r="AO97" s="7"/>
      <c r="AP97" s="7"/>
      <c r="AQ97" s="5"/>
      <c r="AR97" s="667"/>
      <c r="AS97" s="7"/>
      <c r="AT97" s="7"/>
      <c r="AU97" s="669" t="e">
        <v>#REF!</v>
      </c>
      <c r="AV97" s="7"/>
      <c r="AW97" s="7"/>
      <c r="AX97" s="5"/>
      <c r="AY97" s="669">
        <v>3.0</v>
      </c>
      <c r="AZ97" s="7"/>
      <c r="BA97" s="7"/>
      <c r="BB97" s="5"/>
      <c r="BC97" s="670"/>
      <c r="BD97" s="670"/>
      <c r="BE97" s="670"/>
      <c r="BF97" s="670"/>
      <c r="BG97" s="670"/>
      <c r="BH97" s="670"/>
      <c r="BI97" s="670"/>
      <c r="BJ97" s="670"/>
      <c r="BK97" s="670"/>
      <c r="BL97" s="670"/>
      <c r="BM97" s="670"/>
      <c r="BN97" s="670"/>
      <c r="BO97" s="670"/>
      <c r="BP97" s="670"/>
      <c r="BQ97" s="670"/>
      <c r="BR97" s="670"/>
      <c r="BS97" s="670"/>
      <c r="BT97" s="670"/>
      <c r="BU97" s="670"/>
      <c r="BV97" s="670"/>
      <c r="BW97" s="670"/>
      <c r="BX97" s="670"/>
      <c r="BY97" s="670"/>
    </row>
    <row r="98">
      <c r="A98" s="663" t="s">
        <v>148</v>
      </c>
      <c r="B98" s="7"/>
      <c r="C98" s="7"/>
      <c r="D98" s="7"/>
      <c r="E98" s="7"/>
      <c r="F98" s="7"/>
      <c r="G98" s="5"/>
      <c r="H98" s="672" t="s">
        <v>405</v>
      </c>
      <c r="I98" s="7"/>
      <c r="J98" s="5"/>
      <c r="K98" s="664" t="s">
        <v>52</v>
      </c>
      <c r="L98" s="7"/>
      <c r="M98" s="7"/>
      <c r="N98" s="5"/>
      <c r="O98" s="665">
        <v>1.0</v>
      </c>
      <c r="P98" s="5"/>
      <c r="Q98" s="665">
        <v>1.0</v>
      </c>
      <c r="R98" s="7"/>
      <c r="S98" s="7"/>
      <c r="T98" s="5"/>
      <c r="U98" s="665">
        <v>1.0</v>
      </c>
      <c r="V98" s="7"/>
      <c r="W98" s="7"/>
      <c r="X98" s="5"/>
      <c r="Y98" s="666" t="s">
        <v>411</v>
      </c>
      <c r="Z98" s="7"/>
      <c r="AA98" s="7"/>
      <c r="AB98" s="5"/>
      <c r="AC98" s="667"/>
      <c r="AD98" s="7"/>
      <c r="AE98" s="5"/>
      <c r="AF98" s="667">
        <f>Modificadores!B53</f>
        <v>2</v>
      </c>
      <c r="AG98" s="7"/>
      <c r="AH98" s="5"/>
      <c r="AI98" s="673" t="s">
        <v>510</v>
      </c>
      <c r="AJ98" s="7"/>
      <c r="AK98" s="7"/>
      <c r="AL98" s="7"/>
      <c r="AM98" s="7"/>
      <c r="AN98" s="7"/>
      <c r="AO98" s="7"/>
      <c r="AP98" s="7"/>
      <c r="AQ98" s="5"/>
      <c r="AR98" s="667"/>
      <c r="AS98" s="7"/>
      <c r="AT98" s="7"/>
      <c r="AU98" s="669" t="e">
        <v>#REF!</v>
      </c>
      <c r="AV98" s="7"/>
      <c r="AW98" s="7"/>
      <c r="AX98" s="5"/>
      <c r="AY98" s="669">
        <v>3.0</v>
      </c>
      <c r="AZ98" s="7"/>
      <c r="BA98" s="7"/>
      <c r="BB98" s="5"/>
      <c r="BC98" s="670"/>
      <c r="BD98" s="670"/>
      <c r="BE98" s="670"/>
      <c r="BF98" s="670"/>
      <c r="BG98" s="670"/>
      <c r="BH98" s="670"/>
      <c r="BI98" s="670"/>
      <c r="BJ98" s="670"/>
      <c r="BK98" s="670"/>
      <c r="BL98" s="670"/>
      <c r="BM98" s="670"/>
      <c r="BN98" s="670"/>
      <c r="BO98" s="670"/>
      <c r="BP98" s="670"/>
      <c r="BQ98" s="670"/>
      <c r="BR98" s="670"/>
      <c r="BS98" s="670"/>
      <c r="BT98" s="670"/>
      <c r="BU98" s="670"/>
      <c r="BV98" s="670"/>
      <c r="BW98" s="670"/>
      <c r="BX98" s="670"/>
      <c r="BY98" s="670"/>
    </row>
    <row r="99">
      <c r="A99" s="663" t="s">
        <v>511</v>
      </c>
      <c r="B99" s="7"/>
      <c r="C99" s="7"/>
      <c r="D99" s="7"/>
      <c r="E99" s="7"/>
      <c r="F99" s="7"/>
      <c r="G99" s="5"/>
      <c r="H99" s="672" t="s">
        <v>405</v>
      </c>
      <c r="I99" s="7"/>
      <c r="J99" s="5"/>
      <c r="K99" s="664" t="s">
        <v>52</v>
      </c>
      <c r="L99" s="7"/>
      <c r="M99" s="7"/>
      <c r="N99" s="5"/>
      <c r="O99" s="665">
        <v>1.0</v>
      </c>
      <c r="P99" s="5"/>
      <c r="Q99" s="665">
        <v>1.0</v>
      </c>
      <c r="R99" s="7"/>
      <c r="S99" s="7"/>
      <c r="T99" s="5"/>
      <c r="U99" s="665">
        <v>1.0</v>
      </c>
      <c r="V99" s="7"/>
      <c r="W99" s="7"/>
      <c r="X99" s="5"/>
      <c r="Y99" s="666" t="s">
        <v>411</v>
      </c>
      <c r="Z99" s="7"/>
      <c r="AA99" s="7"/>
      <c r="AB99" s="5"/>
      <c r="AC99" s="667"/>
      <c r="AD99" s="7"/>
      <c r="AE99" s="5"/>
      <c r="AF99" s="667">
        <f>Modificadores!B53</f>
        <v>2</v>
      </c>
      <c r="AG99" s="7"/>
      <c r="AH99" s="5"/>
      <c r="AI99" s="673" t="s">
        <v>512</v>
      </c>
      <c r="AJ99" s="7"/>
      <c r="AK99" s="7"/>
      <c r="AL99" s="7"/>
      <c r="AM99" s="7"/>
      <c r="AN99" s="7"/>
      <c r="AO99" s="7"/>
      <c r="AP99" s="7"/>
      <c r="AQ99" s="5"/>
      <c r="AR99" s="667"/>
      <c r="AS99" s="7"/>
      <c r="AT99" s="7"/>
      <c r="AU99" s="669" t="e">
        <v>#REF!</v>
      </c>
      <c r="AV99" s="7"/>
      <c r="AW99" s="7"/>
      <c r="AX99" s="5"/>
      <c r="AY99" s="669">
        <v>1.0</v>
      </c>
      <c r="AZ99" s="7"/>
      <c r="BA99" s="7"/>
      <c r="BB99" s="5"/>
      <c r="BC99" s="670"/>
      <c r="BD99" s="670"/>
      <c r="BE99" s="670"/>
      <c r="BF99" s="670"/>
      <c r="BG99" s="670"/>
      <c r="BH99" s="670"/>
      <c r="BI99" s="670"/>
      <c r="BJ99" s="670"/>
      <c r="BK99" s="670"/>
      <c r="BL99" s="670"/>
      <c r="BM99" s="670"/>
      <c r="BN99" s="670"/>
      <c r="BO99" s="670"/>
      <c r="BP99" s="670"/>
      <c r="BQ99" s="670"/>
      <c r="BR99" s="670"/>
      <c r="BS99" s="670"/>
      <c r="BT99" s="670"/>
      <c r="BU99" s="670"/>
      <c r="BV99" s="670"/>
      <c r="BW99" s="670"/>
      <c r="BX99" s="670"/>
      <c r="BY99" s="670"/>
    </row>
    <row r="100">
      <c r="A100" s="663" t="s">
        <v>513</v>
      </c>
      <c r="B100" s="7"/>
      <c r="C100" s="7"/>
      <c r="D100" s="7"/>
      <c r="E100" s="7"/>
      <c r="F100" s="7"/>
      <c r="G100" s="5"/>
      <c r="H100" s="672" t="s">
        <v>414</v>
      </c>
      <c r="I100" s="7"/>
      <c r="J100" s="5"/>
      <c r="K100" s="664" t="s">
        <v>34</v>
      </c>
      <c r="L100" s="7"/>
      <c r="M100" s="7"/>
      <c r="N100" s="5"/>
      <c r="O100" s="665">
        <v>1.0</v>
      </c>
      <c r="P100" s="5"/>
      <c r="Q100" s="665">
        <v>1.0</v>
      </c>
      <c r="R100" s="7"/>
      <c r="S100" s="7"/>
      <c r="T100" s="5"/>
      <c r="U100" s="665">
        <v>1.0</v>
      </c>
      <c r="V100" s="7"/>
      <c r="W100" s="7"/>
      <c r="X100" s="5"/>
      <c r="Y100" s="666" t="s">
        <v>411</v>
      </c>
      <c r="Z100" s="7"/>
      <c r="AA100" s="7"/>
      <c r="AB100" s="5"/>
      <c r="AC100" s="667"/>
      <c r="AD100" s="7"/>
      <c r="AE100" s="5"/>
      <c r="AF100" s="667">
        <f>Modificadores!B53</f>
        <v>2</v>
      </c>
      <c r="AG100" s="7"/>
      <c r="AH100" s="5"/>
      <c r="AI100" s="673" t="s">
        <v>514</v>
      </c>
      <c r="AJ100" s="7"/>
      <c r="AK100" s="7"/>
      <c r="AL100" s="7"/>
      <c r="AM100" s="7"/>
      <c r="AN100" s="7"/>
      <c r="AO100" s="7"/>
      <c r="AP100" s="7"/>
      <c r="AQ100" s="5"/>
      <c r="AR100" s="667"/>
      <c r="AS100" s="7"/>
      <c r="AT100" s="7"/>
      <c r="AU100" s="669" t="e">
        <v>#REF!</v>
      </c>
      <c r="AV100" s="7"/>
      <c r="AW100" s="7"/>
      <c r="AX100" s="5"/>
      <c r="AY100" s="669">
        <v>3.0</v>
      </c>
      <c r="AZ100" s="7"/>
      <c r="BA100" s="7"/>
      <c r="BB100" s="5"/>
      <c r="BC100" s="670"/>
      <c r="BD100" s="670"/>
      <c r="BE100" s="670"/>
      <c r="BF100" s="670"/>
      <c r="BG100" s="670"/>
      <c r="BH100" s="670"/>
      <c r="BI100" s="670"/>
      <c r="BJ100" s="670"/>
      <c r="BK100" s="670"/>
      <c r="BL100" s="670"/>
      <c r="BM100" s="670"/>
      <c r="BN100" s="670"/>
      <c r="BO100" s="670"/>
      <c r="BP100" s="670"/>
      <c r="BQ100" s="670"/>
      <c r="BR100" s="670"/>
      <c r="BS100" s="670"/>
      <c r="BT100" s="670"/>
      <c r="BU100" s="670"/>
      <c r="BV100" s="670"/>
      <c r="BW100" s="670"/>
      <c r="BX100" s="670"/>
      <c r="BY100" s="670"/>
    </row>
    <row r="101">
      <c r="A101" s="663" t="s">
        <v>515</v>
      </c>
      <c r="B101" s="7"/>
      <c r="C101" s="7"/>
      <c r="D101" s="7"/>
      <c r="E101" s="7"/>
      <c r="F101" s="7"/>
      <c r="G101" s="5"/>
      <c r="H101" s="672" t="s">
        <v>427</v>
      </c>
      <c r="I101" s="7"/>
      <c r="J101" s="5"/>
      <c r="K101" s="664" t="s">
        <v>34</v>
      </c>
      <c r="L101" s="7"/>
      <c r="M101" s="7"/>
      <c r="N101" s="5"/>
      <c r="O101" s="665">
        <v>1.0</v>
      </c>
      <c r="P101" s="5"/>
      <c r="Q101" s="665">
        <v>1.0</v>
      </c>
      <c r="R101" s="7"/>
      <c r="S101" s="7"/>
      <c r="T101" s="5"/>
      <c r="U101" s="665">
        <v>1.0</v>
      </c>
      <c r="V101" s="7"/>
      <c r="W101" s="7"/>
      <c r="X101" s="5"/>
      <c r="Y101" s="666" t="s">
        <v>406</v>
      </c>
      <c r="Z101" s="7"/>
      <c r="AA101" s="7"/>
      <c r="AB101" s="5"/>
      <c r="AC101" s="667"/>
      <c r="AD101" s="7"/>
      <c r="AE101" s="5"/>
      <c r="AF101" s="667">
        <f>Modificadores!B53</f>
        <v>2</v>
      </c>
      <c r="AG101" s="7"/>
      <c r="AH101" s="5"/>
      <c r="AI101" s="673" t="s">
        <v>514</v>
      </c>
      <c r="AJ101" s="7"/>
      <c r="AK101" s="7"/>
      <c r="AL101" s="7"/>
      <c r="AM101" s="7"/>
      <c r="AN101" s="7"/>
      <c r="AO101" s="7"/>
      <c r="AP101" s="7"/>
      <c r="AQ101" s="5"/>
      <c r="AR101" s="667"/>
      <c r="AS101" s="7"/>
      <c r="AT101" s="7"/>
      <c r="AU101" s="669" t="e">
        <v>#REF!</v>
      </c>
      <c r="AV101" s="7"/>
      <c r="AW101" s="7"/>
      <c r="AX101" s="5"/>
      <c r="AY101" s="669">
        <v>3.0</v>
      </c>
      <c r="AZ101" s="7"/>
      <c r="BA101" s="7"/>
      <c r="BB101" s="5"/>
      <c r="BC101" s="670"/>
      <c r="BD101" s="670"/>
      <c r="BE101" s="670"/>
      <c r="BF101" s="670"/>
      <c r="BG101" s="670"/>
      <c r="BH101" s="670"/>
      <c r="BI101" s="670"/>
      <c r="BJ101" s="670"/>
      <c r="BK101" s="670"/>
      <c r="BL101" s="670"/>
      <c r="BM101" s="670"/>
      <c r="BN101" s="670"/>
      <c r="BO101" s="670"/>
      <c r="BP101" s="670"/>
      <c r="BQ101" s="670"/>
      <c r="BR101" s="670"/>
      <c r="BS101" s="670"/>
      <c r="BT101" s="670"/>
      <c r="BU101" s="670"/>
      <c r="BV101" s="670"/>
      <c r="BW101" s="670"/>
      <c r="BX101" s="670"/>
      <c r="BY101" s="670"/>
    </row>
    <row r="102">
      <c r="A102" s="663" t="s">
        <v>516</v>
      </c>
      <c r="B102" s="7"/>
      <c r="C102" s="7"/>
      <c r="D102" s="7"/>
      <c r="E102" s="7"/>
      <c r="F102" s="7"/>
      <c r="G102" s="5"/>
      <c r="H102" s="672" t="s">
        <v>427</v>
      </c>
      <c r="I102" s="7"/>
      <c r="J102" s="5"/>
      <c r="K102" s="664" t="s">
        <v>34</v>
      </c>
      <c r="L102" s="7"/>
      <c r="M102" s="7"/>
      <c r="N102" s="5"/>
      <c r="O102" s="665">
        <v>1.0</v>
      </c>
      <c r="P102" s="5"/>
      <c r="Q102" s="665">
        <v>1.0</v>
      </c>
      <c r="R102" s="7"/>
      <c r="S102" s="7"/>
      <c r="T102" s="5"/>
      <c r="U102" s="665">
        <v>1.0</v>
      </c>
      <c r="V102" s="7"/>
      <c r="W102" s="7"/>
      <c r="X102" s="5"/>
      <c r="Y102" s="666" t="s">
        <v>399</v>
      </c>
      <c r="Z102" s="7"/>
      <c r="AA102" s="7"/>
      <c r="AB102" s="5"/>
      <c r="AC102" s="667"/>
      <c r="AD102" s="7"/>
      <c r="AE102" s="5"/>
      <c r="AF102" s="667">
        <f>Modificadores!B53</f>
        <v>2</v>
      </c>
      <c r="AG102" s="7"/>
      <c r="AH102" s="5"/>
      <c r="AI102" s="673" t="s">
        <v>517</v>
      </c>
      <c r="AJ102" s="7"/>
      <c r="AK102" s="7"/>
      <c r="AL102" s="7"/>
      <c r="AM102" s="7"/>
      <c r="AN102" s="7"/>
      <c r="AO102" s="7"/>
      <c r="AP102" s="7"/>
      <c r="AQ102" s="5"/>
      <c r="AR102" s="667"/>
      <c r="AS102" s="7"/>
      <c r="AT102" s="7"/>
      <c r="AU102" s="669" t="e">
        <v>#REF!</v>
      </c>
      <c r="AV102" s="7"/>
      <c r="AW102" s="7"/>
      <c r="AX102" s="5"/>
      <c r="AY102" s="669">
        <v>3.0</v>
      </c>
      <c r="AZ102" s="7"/>
      <c r="BA102" s="7"/>
      <c r="BB102" s="5"/>
      <c r="BC102" s="670"/>
      <c r="BD102" s="670"/>
      <c r="BE102" s="670"/>
      <c r="BF102" s="670"/>
      <c r="BG102" s="670"/>
      <c r="BH102" s="670"/>
      <c r="BI102" s="670"/>
      <c r="BJ102" s="670"/>
      <c r="BK102" s="670"/>
      <c r="BL102" s="670"/>
      <c r="BM102" s="670"/>
      <c r="BN102" s="670"/>
      <c r="BO102" s="670"/>
      <c r="BP102" s="670"/>
      <c r="BQ102" s="670"/>
      <c r="BR102" s="670"/>
      <c r="BS102" s="670"/>
      <c r="BT102" s="670"/>
      <c r="BU102" s="670"/>
      <c r="BV102" s="670"/>
      <c r="BW102" s="670"/>
      <c r="BX102" s="670"/>
      <c r="BY102" s="670"/>
    </row>
    <row r="103">
      <c r="A103" s="663" t="s">
        <v>518</v>
      </c>
      <c r="B103" s="7"/>
      <c r="C103" s="7"/>
      <c r="D103" s="7"/>
      <c r="E103" s="7"/>
      <c r="F103" s="7"/>
      <c r="G103" s="5"/>
      <c r="H103" s="672" t="s">
        <v>422</v>
      </c>
      <c r="I103" s="7"/>
      <c r="J103" s="5"/>
      <c r="K103" s="664" t="s">
        <v>34</v>
      </c>
      <c r="L103" s="7"/>
      <c r="M103" s="7"/>
      <c r="N103" s="5"/>
      <c r="O103" s="665">
        <v>1.0</v>
      </c>
      <c r="P103" s="5"/>
      <c r="Q103" s="665">
        <v>1.0</v>
      </c>
      <c r="R103" s="7"/>
      <c r="S103" s="7"/>
      <c r="T103" s="5"/>
      <c r="U103" s="665">
        <v>0.0</v>
      </c>
      <c r="V103" s="7"/>
      <c r="W103" s="7"/>
      <c r="X103" s="5"/>
      <c r="Y103" s="666" t="s">
        <v>519</v>
      </c>
      <c r="Z103" s="7"/>
      <c r="AA103" s="7"/>
      <c r="AB103" s="5"/>
      <c r="AC103" s="667"/>
      <c r="AD103" s="7"/>
      <c r="AE103" s="5"/>
      <c r="AF103" s="667">
        <f>Modificadores!B53</f>
        <v>2</v>
      </c>
      <c r="AG103" s="7"/>
      <c r="AH103" s="5"/>
      <c r="AI103" s="673" t="s">
        <v>517</v>
      </c>
      <c r="AJ103" s="7"/>
      <c r="AK103" s="7"/>
      <c r="AL103" s="7"/>
      <c r="AM103" s="7"/>
      <c r="AN103" s="7"/>
      <c r="AO103" s="7"/>
      <c r="AP103" s="7"/>
      <c r="AQ103" s="5"/>
      <c r="AR103" s="667"/>
      <c r="AS103" s="7"/>
      <c r="AT103" s="7"/>
      <c r="AU103" s="669" t="e">
        <v>#REF!</v>
      </c>
      <c r="AV103" s="7"/>
      <c r="AW103" s="7"/>
      <c r="AX103" s="5"/>
      <c r="AY103" s="669">
        <v>0.0</v>
      </c>
      <c r="AZ103" s="7"/>
      <c r="BA103" s="7"/>
      <c r="BB103" s="5"/>
      <c r="BC103" s="670"/>
      <c r="BD103" s="670"/>
      <c r="BE103" s="670"/>
      <c r="BF103" s="670"/>
      <c r="BG103" s="670"/>
      <c r="BH103" s="670"/>
      <c r="BI103" s="670"/>
      <c r="BJ103" s="670"/>
      <c r="BK103" s="670"/>
      <c r="BL103" s="670"/>
      <c r="BM103" s="670"/>
      <c r="BN103" s="670"/>
      <c r="BO103" s="670"/>
      <c r="BP103" s="670"/>
      <c r="BQ103" s="670"/>
      <c r="BR103" s="670"/>
      <c r="BS103" s="670"/>
      <c r="BT103" s="670"/>
      <c r="BU103" s="670"/>
      <c r="BV103" s="670"/>
      <c r="BW103" s="670"/>
      <c r="BX103" s="670"/>
      <c r="BY103" s="670"/>
    </row>
    <row r="104">
      <c r="A104" s="674" t="s">
        <v>153</v>
      </c>
      <c r="B104" s="7"/>
      <c r="C104" s="7"/>
      <c r="D104" s="7"/>
      <c r="E104" s="7"/>
      <c r="F104" s="7"/>
      <c r="G104" s="5"/>
      <c r="H104" s="672" t="s">
        <v>414</v>
      </c>
      <c r="I104" s="7"/>
      <c r="J104" s="5"/>
      <c r="K104" s="664" t="s">
        <v>34</v>
      </c>
      <c r="L104" s="7"/>
      <c r="M104" s="7"/>
      <c r="N104" s="5"/>
      <c r="O104" s="665">
        <v>1.0</v>
      </c>
      <c r="P104" s="5"/>
      <c r="Q104" s="665">
        <v>1.0</v>
      </c>
      <c r="R104" s="7"/>
      <c r="S104" s="7"/>
      <c r="T104" s="5"/>
      <c r="U104" s="665">
        <v>1.0</v>
      </c>
      <c r="V104" s="7"/>
      <c r="W104" s="7"/>
      <c r="X104" s="5"/>
      <c r="Y104" s="666" t="s">
        <v>406</v>
      </c>
      <c r="Z104" s="7"/>
      <c r="AA104" s="7"/>
      <c r="AB104" s="5"/>
      <c r="AC104" s="667"/>
      <c r="AD104" s="7"/>
      <c r="AE104" s="5"/>
      <c r="AF104" s="667">
        <f>Modificadores!B53</f>
        <v>2</v>
      </c>
      <c r="AG104" s="7"/>
      <c r="AH104" s="5"/>
      <c r="AI104" s="673" t="s">
        <v>520</v>
      </c>
      <c r="AJ104" s="7"/>
      <c r="AK104" s="7"/>
      <c r="AL104" s="7"/>
      <c r="AM104" s="7"/>
      <c r="AN104" s="7"/>
      <c r="AO104" s="7"/>
      <c r="AP104" s="7"/>
      <c r="AQ104" s="5"/>
      <c r="AR104" s="667"/>
      <c r="AS104" s="7"/>
      <c r="AT104" s="7"/>
      <c r="AU104" s="669" t="e">
        <v>#REF!</v>
      </c>
      <c r="AV104" s="7"/>
      <c r="AW104" s="7"/>
      <c r="AX104" s="5"/>
      <c r="AY104" s="669">
        <v>3.0</v>
      </c>
      <c r="AZ104" s="7"/>
      <c r="BA104" s="7"/>
      <c r="BB104" s="5"/>
      <c r="BC104" s="670"/>
      <c r="BD104" s="670"/>
      <c r="BE104" s="670"/>
      <c r="BF104" s="670"/>
      <c r="BG104" s="670"/>
      <c r="BH104" s="670"/>
      <c r="BI104" s="670"/>
      <c r="BJ104" s="670"/>
      <c r="BK104" s="670"/>
      <c r="BL104" s="670"/>
      <c r="BM104" s="670"/>
      <c r="BN104" s="670"/>
      <c r="BO104" s="670"/>
      <c r="BP104" s="670"/>
      <c r="BQ104" s="670"/>
      <c r="BR104" s="670"/>
      <c r="BS104" s="670"/>
      <c r="BT104" s="670"/>
      <c r="BU104" s="670"/>
      <c r="BV104" s="670"/>
      <c r="BW104" s="670"/>
      <c r="BX104" s="670"/>
      <c r="BY104" s="670"/>
    </row>
    <row r="105">
      <c r="A105" s="663" t="s">
        <v>521</v>
      </c>
      <c r="B105" s="7"/>
      <c r="C105" s="7"/>
      <c r="D105" s="7"/>
      <c r="E105" s="7"/>
      <c r="F105" s="7"/>
      <c r="G105" s="5"/>
      <c r="H105" s="664" t="s">
        <v>405</v>
      </c>
      <c r="I105" s="7"/>
      <c r="J105" s="5"/>
      <c r="K105" s="664" t="s">
        <v>34</v>
      </c>
      <c r="L105" s="7"/>
      <c r="M105" s="7"/>
      <c r="N105" s="5"/>
      <c r="O105" s="665">
        <v>1.0</v>
      </c>
      <c r="P105" s="5"/>
      <c r="Q105" s="665">
        <v>1.0</v>
      </c>
      <c r="R105" s="7"/>
      <c r="S105" s="7"/>
      <c r="T105" s="5"/>
      <c r="U105" s="665">
        <v>1.0</v>
      </c>
      <c r="V105" s="7"/>
      <c r="W105" s="7"/>
      <c r="X105" s="5"/>
      <c r="Y105" s="666" t="s">
        <v>399</v>
      </c>
      <c r="Z105" s="7"/>
      <c r="AA105" s="7"/>
      <c r="AB105" s="5"/>
      <c r="AC105" s="667"/>
      <c r="AD105" s="7"/>
      <c r="AE105" s="5"/>
      <c r="AF105" s="667">
        <f>if(Modificadores!B53&gt;Modificadores!B55,Modificadores!B53,Modificadores!B55)</f>
        <v>4</v>
      </c>
      <c r="AG105" s="7"/>
      <c r="AH105" s="5"/>
      <c r="AI105" s="671" t="s">
        <v>522</v>
      </c>
      <c r="AJ105" s="7"/>
      <c r="AK105" s="7"/>
      <c r="AL105" s="7"/>
      <c r="AM105" s="7"/>
      <c r="AN105" s="7"/>
      <c r="AO105" s="7"/>
      <c r="AP105" s="7"/>
      <c r="AQ105" s="5"/>
      <c r="AR105" s="667"/>
      <c r="AS105" s="7"/>
      <c r="AT105" s="7"/>
      <c r="AU105" s="669" t="e">
        <v>#REF!</v>
      </c>
      <c r="AV105" s="7"/>
      <c r="AW105" s="7"/>
      <c r="AX105" s="5"/>
      <c r="AY105" s="669">
        <v>3.0</v>
      </c>
      <c r="AZ105" s="7"/>
      <c r="BA105" s="7"/>
      <c r="BB105" s="5"/>
      <c r="BC105" s="670"/>
      <c r="BD105" s="670"/>
      <c r="BE105" s="670"/>
      <c r="BF105" s="670"/>
      <c r="BG105" s="670"/>
      <c r="BH105" s="670"/>
      <c r="BI105" s="670"/>
      <c r="BJ105" s="670"/>
      <c r="BK105" s="670"/>
      <c r="BL105" s="670"/>
      <c r="BM105" s="670"/>
      <c r="BN105" s="670"/>
      <c r="BO105" s="670"/>
      <c r="BP105" s="670"/>
      <c r="BQ105" s="670"/>
      <c r="BR105" s="670"/>
      <c r="BS105" s="670"/>
      <c r="BT105" s="670"/>
      <c r="BU105" s="670"/>
      <c r="BV105" s="670"/>
      <c r="BW105" s="670"/>
      <c r="BX105" s="670"/>
      <c r="BY105" s="670"/>
    </row>
    <row r="106">
      <c r="A106" s="663" t="s">
        <v>523</v>
      </c>
      <c r="B106" s="7"/>
      <c r="C106" s="7"/>
      <c r="D106" s="7"/>
      <c r="E106" s="7"/>
      <c r="F106" s="7"/>
      <c r="G106" s="5"/>
      <c r="H106" s="672" t="s">
        <v>422</v>
      </c>
      <c r="I106" s="7"/>
      <c r="J106" s="5"/>
      <c r="K106" s="664" t="s">
        <v>34</v>
      </c>
      <c r="L106" s="7"/>
      <c r="M106" s="7"/>
      <c r="N106" s="5"/>
      <c r="O106" s="665">
        <v>1.0</v>
      </c>
      <c r="P106" s="5"/>
      <c r="Q106" s="665">
        <v>1.0</v>
      </c>
      <c r="R106" s="7"/>
      <c r="S106" s="7"/>
      <c r="T106" s="5"/>
      <c r="U106" s="665">
        <v>0.0</v>
      </c>
      <c r="V106" s="7"/>
      <c r="W106" s="7"/>
      <c r="X106" s="5"/>
      <c r="Y106" s="666" t="s">
        <v>399</v>
      </c>
      <c r="Z106" s="7"/>
      <c r="AA106" s="7"/>
      <c r="AB106" s="5"/>
      <c r="AC106" s="667"/>
      <c r="AD106" s="7"/>
      <c r="AE106" s="5"/>
      <c r="AF106" s="667">
        <f>Modificadores!B53</f>
        <v>2</v>
      </c>
      <c r="AG106" s="7"/>
      <c r="AH106" s="5"/>
      <c r="AI106" s="673" t="s">
        <v>524</v>
      </c>
      <c r="AJ106" s="7"/>
      <c r="AK106" s="7"/>
      <c r="AL106" s="7"/>
      <c r="AM106" s="7"/>
      <c r="AN106" s="7"/>
      <c r="AO106" s="7"/>
      <c r="AP106" s="7"/>
      <c r="AQ106" s="5"/>
      <c r="AR106" s="667"/>
      <c r="AS106" s="7"/>
      <c r="AT106" s="7"/>
      <c r="AU106" s="669" t="e">
        <v>#REF!</v>
      </c>
      <c r="AV106" s="7"/>
      <c r="AW106" s="7"/>
      <c r="AX106" s="5"/>
      <c r="AY106" s="669">
        <v>0.0</v>
      </c>
      <c r="AZ106" s="7"/>
      <c r="BA106" s="7"/>
      <c r="BB106" s="5"/>
      <c r="BC106" s="670"/>
      <c r="BD106" s="670"/>
      <c r="BE106" s="670"/>
      <c r="BF106" s="670"/>
      <c r="BG106" s="670"/>
      <c r="BH106" s="670"/>
      <c r="BI106" s="670"/>
      <c r="BJ106" s="670"/>
      <c r="BK106" s="670"/>
      <c r="BL106" s="670"/>
      <c r="BM106" s="670"/>
      <c r="BN106" s="670"/>
      <c r="BO106" s="670"/>
      <c r="BP106" s="670"/>
      <c r="BQ106" s="670"/>
      <c r="BR106" s="670"/>
      <c r="BS106" s="670"/>
      <c r="BT106" s="670"/>
      <c r="BU106" s="670"/>
      <c r="BV106" s="670"/>
      <c r="BW106" s="670"/>
      <c r="BX106" s="670"/>
      <c r="BY106" s="670"/>
    </row>
    <row r="107">
      <c r="A107" s="663" t="s">
        <v>525</v>
      </c>
      <c r="B107" s="7"/>
      <c r="C107" s="7"/>
      <c r="D107" s="7"/>
      <c r="E107" s="7"/>
      <c r="F107" s="7"/>
      <c r="G107" s="5"/>
      <c r="H107" s="672" t="s">
        <v>444</v>
      </c>
      <c r="I107" s="7"/>
      <c r="J107" s="5"/>
      <c r="K107" s="664" t="s">
        <v>34</v>
      </c>
      <c r="L107" s="7"/>
      <c r="M107" s="7"/>
      <c r="N107" s="5"/>
      <c r="O107" s="665">
        <v>1.0</v>
      </c>
      <c r="P107" s="5"/>
      <c r="Q107" s="665">
        <v>1.0</v>
      </c>
      <c r="R107" s="7"/>
      <c r="S107" s="7"/>
      <c r="T107" s="5"/>
      <c r="U107" s="665">
        <v>0.0</v>
      </c>
      <c r="V107" s="7"/>
      <c r="W107" s="7"/>
      <c r="X107" s="5"/>
      <c r="Y107" s="666" t="s">
        <v>399</v>
      </c>
      <c r="Z107" s="7"/>
      <c r="AA107" s="7"/>
      <c r="AB107" s="5"/>
      <c r="AC107" s="667"/>
      <c r="AD107" s="7"/>
      <c r="AE107" s="5"/>
      <c r="AF107" s="667">
        <f>Modificadores!B53</f>
        <v>2</v>
      </c>
      <c r="AG107" s="7"/>
      <c r="AH107" s="5"/>
      <c r="AI107" s="673" t="s">
        <v>524</v>
      </c>
      <c r="AJ107" s="7"/>
      <c r="AK107" s="7"/>
      <c r="AL107" s="7"/>
      <c r="AM107" s="7"/>
      <c r="AN107" s="7"/>
      <c r="AO107" s="7"/>
      <c r="AP107" s="7"/>
      <c r="AQ107" s="5"/>
      <c r="AR107" s="667"/>
      <c r="AS107" s="7"/>
      <c r="AT107" s="7"/>
      <c r="AU107" s="669" t="e">
        <v>#REF!</v>
      </c>
      <c r="AV107" s="7"/>
      <c r="AW107" s="7"/>
      <c r="AX107" s="5"/>
      <c r="AY107" s="669">
        <v>0.0</v>
      </c>
      <c r="AZ107" s="7"/>
      <c r="BA107" s="7"/>
      <c r="BB107" s="5"/>
      <c r="BC107" s="670"/>
      <c r="BD107" s="670"/>
      <c r="BE107" s="670"/>
      <c r="BF107" s="670"/>
      <c r="BG107" s="670"/>
      <c r="BH107" s="670"/>
      <c r="BI107" s="670"/>
      <c r="BJ107" s="670"/>
      <c r="BK107" s="670"/>
      <c r="BL107" s="670"/>
      <c r="BM107" s="670"/>
      <c r="BN107" s="670"/>
      <c r="BO107" s="670"/>
      <c r="BP107" s="670"/>
      <c r="BQ107" s="670"/>
      <c r="BR107" s="670"/>
      <c r="BS107" s="670"/>
      <c r="BT107" s="670"/>
      <c r="BU107" s="670"/>
      <c r="BV107" s="670"/>
      <c r="BW107" s="670"/>
      <c r="BX107" s="670"/>
      <c r="BY107" s="670"/>
    </row>
    <row r="108">
      <c r="A108" s="663" t="s">
        <v>526</v>
      </c>
      <c r="B108" s="7"/>
      <c r="C108" s="7"/>
      <c r="D108" s="7"/>
      <c r="E108" s="7"/>
      <c r="F108" s="7"/>
      <c r="G108" s="5"/>
      <c r="H108" s="672" t="s">
        <v>414</v>
      </c>
      <c r="I108" s="7"/>
      <c r="J108" s="5"/>
      <c r="K108" s="664" t="s">
        <v>34</v>
      </c>
      <c r="L108" s="7"/>
      <c r="M108" s="7"/>
      <c r="N108" s="5"/>
      <c r="O108" s="665">
        <v>1.0</v>
      </c>
      <c r="P108" s="5"/>
      <c r="Q108" s="665">
        <v>1.0</v>
      </c>
      <c r="R108" s="7"/>
      <c r="S108" s="7"/>
      <c r="T108" s="5"/>
      <c r="U108" s="665">
        <v>1.0</v>
      </c>
      <c r="V108" s="7"/>
      <c r="W108" s="7"/>
      <c r="X108" s="5"/>
      <c r="Y108" s="666" t="s">
        <v>399</v>
      </c>
      <c r="Z108" s="7"/>
      <c r="AA108" s="7"/>
      <c r="AB108" s="5"/>
      <c r="AC108" s="667"/>
      <c r="AD108" s="7"/>
      <c r="AE108" s="5"/>
      <c r="AF108" s="667">
        <f>Modificadores!B53</f>
        <v>2</v>
      </c>
      <c r="AG108" s="7"/>
      <c r="AH108" s="5"/>
      <c r="AI108" s="673" t="s">
        <v>449</v>
      </c>
      <c r="AJ108" s="7"/>
      <c r="AK108" s="7"/>
      <c r="AL108" s="7"/>
      <c r="AM108" s="7"/>
      <c r="AN108" s="7"/>
      <c r="AO108" s="7"/>
      <c r="AP108" s="7"/>
      <c r="AQ108" s="5"/>
      <c r="AR108" s="667"/>
      <c r="AS108" s="7"/>
      <c r="AT108" s="7"/>
      <c r="AU108" s="669" t="e">
        <v>#REF!</v>
      </c>
      <c r="AV108" s="7"/>
      <c r="AW108" s="7"/>
      <c r="AX108" s="5"/>
      <c r="AY108" s="669">
        <v>3.0</v>
      </c>
      <c r="AZ108" s="7"/>
      <c r="BA108" s="7"/>
      <c r="BB108" s="5"/>
      <c r="BC108" s="670"/>
      <c r="BD108" s="670"/>
      <c r="BE108" s="670"/>
      <c r="BF108" s="670"/>
      <c r="BG108" s="670"/>
      <c r="BH108" s="670"/>
      <c r="BI108" s="670"/>
      <c r="BJ108" s="670"/>
      <c r="BK108" s="670"/>
      <c r="BL108" s="670"/>
      <c r="BM108" s="670"/>
      <c r="BN108" s="670"/>
      <c r="BO108" s="670"/>
      <c r="BP108" s="670"/>
      <c r="BQ108" s="670"/>
      <c r="BR108" s="670"/>
      <c r="BS108" s="670"/>
      <c r="BT108" s="670"/>
      <c r="BU108" s="670"/>
      <c r="BV108" s="670"/>
      <c r="BW108" s="670"/>
      <c r="BX108" s="670"/>
      <c r="BY108" s="670"/>
    </row>
    <row r="109">
      <c r="A109" s="663" t="s">
        <v>527</v>
      </c>
      <c r="B109" s="7"/>
      <c r="C109" s="7"/>
      <c r="D109" s="7"/>
      <c r="E109" s="7"/>
      <c r="F109" s="7"/>
      <c r="G109" s="5"/>
      <c r="H109" s="672" t="s">
        <v>414</v>
      </c>
      <c r="I109" s="7"/>
      <c r="J109" s="5"/>
      <c r="K109" s="664" t="s">
        <v>34</v>
      </c>
      <c r="L109" s="7"/>
      <c r="M109" s="7"/>
      <c r="N109" s="5"/>
      <c r="O109" s="665">
        <v>1.0</v>
      </c>
      <c r="P109" s="5"/>
      <c r="Q109" s="665">
        <v>1.0</v>
      </c>
      <c r="R109" s="7"/>
      <c r="S109" s="7"/>
      <c r="T109" s="5"/>
      <c r="U109" s="665">
        <v>1.0</v>
      </c>
      <c r="V109" s="7"/>
      <c r="W109" s="7"/>
      <c r="X109" s="5"/>
      <c r="Y109" s="666" t="s">
        <v>399</v>
      </c>
      <c r="Z109" s="7"/>
      <c r="AA109" s="7"/>
      <c r="AB109" s="5"/>
      <c r="AC109" s="667"/>
      <c r="AD109" s="7"/>
      <c r="AE109" s="5"/>
      <c r="AF109" s="667">
        <f>Modificadores!B53</f>
        <v>2</v>
      </c>
      <c r="AG109" s="7"/>
      <c r="AH109" s="5"/>
      <c r="AI109" s="673" t="s">
        <v>528</v>
      </c>
      <c r="AJ109" s="7"/>
      <c r="AK109" s="7"/>
      <c r="AL109" s="7"/>
      <c r="AM109" s="7"/>
      <c r="AN109" s="7"/>
      <c r="AO109" s="7"/>
      <c r="AP109" s="7"/>
      <c r="AQ109" s="5"/>
      <c r="AR109" s="667"/>
      <c r="AS109" s="7"/>
      <c r="AT109" s="7"/>
      <c r="AU109" s="669" t="e">
        <v>#REF!</v>
      </c>
      <c r="AV109" s="7"/>
      <c r="AW109" s="7"/>
      <c r="AX109" s="5"/>
      <c r="AY109" s="669">
        <v>3.0</v>
      </c>
      <c r="AZ109" s="7"/>
      <c r="BA109" s="7"/>
      <c r="BB109" s="5"/>
      <c r="BC109" s="670"/>
      <c r="BD109" s="670"/>
      <c r="BE109" s="670"/>
      <c r="BF109" s="670"/>
      <c r="BG109" s="670"/>
      <c r="BH109" s="670"/>
      <c r="BI109" s="670"/>
      <c r="BJ109" s="670"/>
      <c r="BK109" s="670"/>
      <c r="BL109" s="670"/>
      <c r="BM109" s="670"/>
      <c r="BN109" s="670"/>
      <c r="BO109" s="670"/>
      <c r="BP109" s="670"/>
      <c r="BQ109" s="670"/>
      <c r="BR109" s="670"/>
      <c r="BS109" s="670"/>
      <c r="BT109" s="670"/>
      <c r="BU109" s="670"/>
      <c r="BV109" s="670"/>
      <c r="BW109" s="670"/>
      <c r="BX109" s="670"/>
      <c r="BY109" s="670"/>
    </row>
    <row r="110">
      <c r="A110" s="663" t="s">
        <v>529</v>
      </c>
      <c r="B110" s="7"/>
      <c r="C110" s="7"/>
      <c r="D110" s="7"/>
      <c r="E110" s="7"/>
      <c r="F110" s="7"/>
      <c r="G110" s="5"/>
      <c r="H110" s="672" t="s">
        <v>414</v>
      </c>
      <c r="I110" s="7"/>
      <c r="J110" s="5"/>
      <c r="K110" s="664" t="s">
        <v>34</v>
      </c>
      <c r="L110" s="7"/>
      <c r="M110" s="7"/>
      <c r="N110" s="5"/>
      <c r="O110" s="665">
        <v>1.0</v>
      </c>
      <c r="P110" s="5"/>
      <c r="Q110" s="665">
        <v>1.0</v>
      </c>
      <c r="R110" s="7"/>
      <c r="S110" s="7"/>
      <c r="T110" s="5"/>
      <c r="U110" s="665">
        <v>1.0</v>
      </c>
      <c r="V110" s="7"/>
      <c r="W110" s="7"/>
      <c r="X110" s="5"/>
      <c r="Y110" s="666" t="s">
        <v>399</v>
      </c>
      <c r="Z110" s="7"/>
      <c r="AA110" s="7"/>
      <c r="AB110" s="5"/>
      <c r="AC110" s="667"/>
      <c r="AD110" s="7"/>
      <c r="AE110" s="5"/>
      <c r="AF110" s="667">
        <f>Modificadores!B53</f>
        <v>2</v>
      </c>
      <c r="AG110" s="7"/>
      <c r="AH110" s="5"/>
      <c r="AI110" s="673" t="s">
        <v>530</v>
      </c>
      <c r="AJ110" s="7"/>
      <c r="AK110" s="7"/>
      <c r="AL110" s="7"/>
      <c r="AM110" s="7"/>
      <c r="AN110" s="7"/>
      <c r="AO110" s="7"/>
      <c r="AP110" s="7"/>
      <c r="AQ110" s="5"/>
      <c r="AR110" s="667"/>
      <c r="AS110" s="7"/>
      <c r="AT110" s="7"/>
      <c r="AU110" s="669" t="e">
        <v>#REF!</v>
      </c>
      <c r="AV110" s="7"/>
      <c r="AW110" s="7"/>
      <c r="AX110" s="5"/>
      <c r="AY110" s="669">
        <v>3.0</v>
      </c>
      <c r="AZ110" s="7"/>
      <c r="BA110" s="7"/>
      <c r="BB110" s="5"/>
      <c r="BC110" s="670"/>
      <c r="BD110" s="670"/>
      <c r="BE110" s="670"/>
      <c r="BF110" s="670"/>
      <c r="BG110" s="670"/>
      <c r="BH110" s="670"/>
      <c r="BI110" s="670"/>
      <c r="BJ110" s="670"/>
      <c r="BK110" s="670"/>
      <c r="BL110" s="670"/>
      <c r="BM110" s="670"/>
      <c r="BN110" s="670"/>
      <c r="BO110" s="670"/>
      <c r="BP110" s="670"/>
      <c r="BQ110" s="670"/>
      <c r="BR110" s="670"/>
      <c r="BS110" s="670"/>
      <c r="BT110" s="670"/>
      <c r="BU110" s="670"/>
      <c r="BV110" s="670"/>
      <c r="BW110" s="670"/>
      <c r="BX110" s="670"/>
      <c r="BY110" s="670"/>
    </row>
    <row r="111">
      <c r="A111" s="663" t="s">
        <v>531</v>
      </c>
      <c r="B111" s="7"/>
      <c r="C111" s="7"/>
      <c r="D111" s="7"/>
      <c r="E111" s="7"/>
      <c r="F111" s="7"/>
      <c r="G111" s="5"/>
      <c r="H111" s="672" t="s">
        <v>405</v>
      </c>
      <c r="I111" s="7"/>
      <c r="J111" s="5"/>
      <c r="K111" s="664" t="s">
        <v>34</v>
      </c>
      <c r="L111" s="7"/>
      <c r="M111" s="7"/>
      <c r="N111" s="5"/>
      <c r="O111" s="665">
        <v>1.0</v>
      </c>
      <c r="P111" s="5"/>
      <c r="Q111" s="665">
        <v>1.0</v>
      </c>
      <c r="R111" s="7"/>
      <c r="S111" s="7"/>
      <c r="T111" s="5"/>
      <c r="U111" s="665">
        <v>1.0</v>
      </c>
      <c r="V111" s="7"/>
      <c r="W111" s="7"/>
      <c r="X111" s="5"/>
      <c r="Y111" s="666" t="s">
        <v>399</v>
      </c>
      <c r="Z111" s="7"/>
      <c r="AA111" s="7"/>
      <c r="AB111" s="5"/>
      <c r="AC111" s="667"/>
      <c r="AD111" s="7"/>
      <c r="AE111" s="5"/>
      <c r="AF111" s="667">
        <f>if(Modificadores!B53&gt;Modificadores!B55,Modificadores!B53,Modificadores!B55)</f>
        <v>4</v>
      </c>
      <c r="AG111" s="7"/>
      <c r="AH111" s="5"/>
      <c r="AI111" s="493"/>
      <c r="AJ111" s="7"/>
      <c r="AK111" s="7"/>
      <c r="AL111" s="7"/>
      <c r="AM111" s="7"/>
      <c r="AN111" s="7"/>
      <c r="AO111" s="7"/>
      <c r="AP111" s="7"/>
      <c r="AQ111" s="5"/>
      <c r="AR111" s="667"/>
      <c r="AS111" s="7"/>
      <c r="AT111" s="7"/>
      <c r="AU111" s="669" t="e">
        <v>#REF!</v>
      </c>
      <c r="AV111" s="7"/>
      <c r="AW111" s="7"/>
      <c r="AX111" s="5"/>
      <c r="AY111" s="669">
        <v>3.0</v>
      </c>
      <c r="AZ111" s="7"/>
      <c r="BA111" s="7"/>
      <c r="BB111" s="5"/>
      <c r="BC111" s="670"/>
      <c r="BD111" s="670"/>
      <c r="BE111" s="670"/>
      <c r="BF111" s="670"/>
      <c r="BG111" s="670"/>
      <c r="BH111" s="670"/>
      <c r="BI111" s="670"/>
      <c r="BJ111" s="670"/>
      <c r="BK111" s="670"/>
      <c r="BL111" s="670"/>
      <c r="BM111" s="670"/>
      <c r="BN111" s="670"/>
      <c r="BO111" s="670"/>
      <c r="BP111" s="670"/>
      <c r="BQ111" s="670"/>
      <c r="BR111" s="670"/>
      <c r="BS111" s="670"/>
      <c r="BT111" s="670"/>
      <c r="BU111" s="670"/>
      <c r="BV111" s="670"/>
      <c r="BW111" s="670"/>
      <c r="BX111" s="670"/>
      <c r="BY111" s="670"/>
    </row>
    <row r="112">
      <c r="A112" s="663" t="s">
        <v>532</v>
      </c>
      <c r="B112" s="7"/>
      <c r="C112" s="7"/>
      <c r="D112" s="7"/>
      <c r="E112" s="7"/>
      <c r="F112" s="7"/>
      <c r="G112" s="5"/>
      <c r="H112" s="672" t="s">
        <v>427</v>
      </c>
      <c r="I112" s="7"/>
      <c r="J112" s="5"/>
      <c r="K112" s="664" t="s">
        <v>34</v>
      </c>
      <c r="L112" s="7"/>
      <c r="M112" s="7"/>
      <c r="N112" s="5"/>
      <c r="O112" s="665">
        <v>1.0</v>
      </c>
      <c r="P112" s="5"/>
      <c r="Q112" s="665">
        <v>1.0</v>
      </c>
      <c r="R112" s="7"/>
      <c r="S112" s="7"/>
      <c r="T112" s="5"/>
      <c r="U112" s="665">
        <v>1.0</v>
      </c>
      <c r="V112" s="7"/>
      <c r="W112" s="7"/>
      <c r="X112" s="5"/>
      <c r="Y112" s="666" t="s">
        <v>411</v>
      </c>
      <c r="Z112" s="7"/>
      <c r="AA112" s="7"/>
      <c r="AB112" s="5"/>
      <c r="AC112" s="667"/>
      <c r="AD112" s="7"/>
      <c r="AE112" s="5"/>
      <c r="AF112" s="667">
        <f>Modificadores!B53</f>
        <v>2</v>
      </c>
      <c r="AG112" s="7"/>
      <c r="AH112" s="5"/>
      <c r="AI112" s="673" t="s">
        <v>533</v>
      </c>
      <c r="AJ112" s="7"/>
      <c r="AK112" s="7"/>
      <c r="AL112" s="7"/>
      <c r="AM112" s="7"/>
      <c r="AN112" s="7"/>
      <c r="AO112" s="7"/>
      <c r="AP112" s="7"/>
      <c r="AQ112" s="5"/>
      <c r="AR112" s="667"/>
      <c r="AS112" s="7"/>
      <c r="AT112" s="7"/>
      <c r="AU112" s="669" t="e">
        <v>#REF!</v>
      </c>
      <c r="AV112" s="7"/>
      <c r="AW112" s="7"/>
      <c r="AX112" s="5"/>
      <c r="AY112" s="669">
        <v>3.0</v>
      </c>
      <c r="AZ112" s="7"/>
      <c r="BA112" s="7"/>
      <c r="BB112" s="5"/>
      <c r="BC112" s="670"/>
      <c r="BD112" s="670"/>
      <c r="BE112" s="670"/>
      <c r="BF112" s="670"/>
      <c r="BG112" s="670"/>
      <c r="BH112" s="670"/>
      <c r="BI112" s="670"/>
      <c r="BJ112" s="670"/>
      <c r="BK112" s="670"/>
      <c r="BL112" s="670"/>
      <c r="BM112" s="670"/>
      <c r="BN112" s="670"/>
      <c r="BO112" s="670"/>
      <c r="BP112" s="670"/>
      <c r="BQ112" s="670"/>
      <c r="BR112" s="670"/>
      <c r="BS112" s="670"/>
      <c r="BT112" s="670"/>
      <c r="BU112" s="670"/>
      <c r="BV112" s="670"/>
      <c r="BW112" s="670"/>
      <c r="BX112" s="670"/>
      <c r="BY112" s="670"/>
    </row>
    <row r="113">
      <c r="A113" s="663" t="s">
        <v>534</v>
      </c>
      <c r="B113" s="7"/>
      <c r="C113" s="7"/>
      <c r="D113" s="7"/>
      <c r="E113" s="7"/>
      <c r="F113" s="7"/>
      <c r="G113" s="5"/>
      <c r="H113" s="672" t="s">
        <v>427</v>
      </c>
      <c r="I113" s="7"/>
      <c r="J113" s="5"/>
      <c r="K113" s="664" t="s">
        <v>34</v>
      </c>
      <c r="L113" s="7"/>
      <c r="M113" s="7"/>
      <c r="N113" s="5"/>
      <c r="O113" s="665">
        <v>1.0</v>
      </c>
      <c r="P113" s="5"/>
      <c r="Q113" s="665">
        <v>1.0</v>
      </c>
      <c r="R113" s="7"/>
      <c r="S113" s="7"/>
      <c r="T113" s="5"/>
      <c r="U113" s="665">
        <v>1.0</v>
      </c>
      <c r="V113" s="7"/>
      <c r="W113" s="7"/>
      <c r="X113" s="5"/>
      <c r="Y113" s="666" t="s">
        <v>399</v>
      </c>
      <c r="Z113" s="7"/>
      <c r="AA113" s="7"/>
      <c r="AB113" s="5"/>
      <c r="AC113" s="667"/>
      <c r="AD113" s="7"/>
      <c r="AE113" s="5"/>
      <c r="AF113" s="667">
        <f>Modificadores!B53</f>
        <v>2</v>
      </c>
      <c r="AG113" s="7"/>
      <c r="AH113" s="5"/>
      <c r="AI113" s="673" t="s">
        <v>535</v>
      </c>
      <c r="AJ113" s="7"/>
      <c r="AK113" s="7"/>
      <c r="AL113" s="7"/>
      <c r="AM113" s="7"/>
      <c r="AN113" s="7"/>
      <c r="AO113" s="7"/>
      <c r="AP113" s="7"/>
      <c r="AQ113" s="5"/>
      <c r="AR113" s="667"/>
      <c r="AS113" s="7"/>
      <c r="AT113" s="7"/>
      <c r="AU113" s="669" t="e">
        <v>#REF!</v>
      </c>
      <c r="AV113" s="7"/>
      <c r="AW113" s="7"/>
      <c r="AX113" s="5"/>
      <c r="AY113" s="669">
        <v>3.0</v>
      </c>
      <c r="AZ113" s="7"/>
      <c r="BA113" s="7"/>
      <c r="BB113" s="5"/>
      <c r="BC113" s="670"/>
      <c r="BD113" s="670"/>
      <c r="BE113" s="670"/>
      <c r="BF113" s="670"/>
      <c r="BG113" s="670"/>
      <c r="BH113" s="670"/>
      <c r="BI113" s="670"/>
      <c r="BJ113" s="670"/>
      <c r="BK113" s="670"/>
      <c r="BL113" s="670"/>
      <c r="BM113" s="670"/>
      <c r="BN113" s="670"/>
      <c r="BO113" s="670"/>
      <c r="BP113" s="670"/>
      <c r="BQ113" s="670"/>
      <c r="BR113" s="670"/>
      <c r="BS113" s="670"/>
      <c r="BT113" s="670"/>
      <c r="BU113" s="670"/>
      <c r="BV113" s="670"/>
      <c r="BW113" s="670"/>
      <c r="BX113" s="670"/>
      <c r="BY113" s="670"/>
    </row>
    <row r="114">
      <c r="A114" s="663" t="s">
        <v>536</v>
      </c>
      <c r="B114" s="7"/>
      <c r="C114" s="7"/>
      <c r="D114" s="7"/>
      <c r="E114" s="7"/>
      <c r="F114" s="7"/>
      <c r="G114" s="5"/>
      <c r="H114" s="672" t="s">
        <v>405</v>
      </c>
      <c r="I114" s="7"/>
      <c r="J114" s="5"/>
      <c r="K114" s="664" t="s">
        <v>34</v>
      </c>
      <c r="L114" s="7"/>
      <c r="M114" s="7"/>
      <c r="N114" s="5"/>
      <c r="O114" s="665">
        <v>1.0</v>
      </c>
      <c r="P114" s="5"/>
      <c r="Q114" s="665">
        <v>1.0</v>
      </c>
      <c r="R114" s="7"/>
      <c r="S114" s="7"/>
      <c r="T114" s="5"/>
      <c r="U114" s="665">
        <v>1.0</v>
      </c>
      <c r="V114" s="7"/>
      <c r="W114" s="7"/>
      <c r="X114" s="5"/>
      <c r="Y114" s="666" t="s">
        <v>411</v>
      </c>
      <c r="Z114" s="7"/>
      <c r="AA114" s="7"/>
      <c r="AB114" s="5"/>
      <c r="AC114" s="667"/>
      <c r="AD114" s="7"/>
      <c r="AE114" s="5"/>
      <c r="AF114" s="667">
        <f>Modificadores!B53</f>
        <v>2</v>
      </c>
      <c r="AG114" s="7"/>
      <c r="AH114" s="5"/>
      <c r="AI114" s="673" t="s">
        <v>537</v>
      </c>
      <c r="AJ114" s="7"/>
      <c r="AK114" s="7"/>
      <c r="AL114" s="7"/>
      <c r="AM114" s="7"/>
      <c r="AN114" s="7"/>
      <c r="AO114" s="7"/>
      <c r="AP114" s="7"/>
      <c r="AQ114" s="5"/>
      <c r="AR114" s="667"/>
      <c r="AS114" s="7"/>
      <c r="AT114" s="7"/>
      <c r="AU114" s="669" t="e">
        <v>#REF!</v>
      </c>
      <c r="AV114" s="7"/>
      <c r="AW114" s="7"/>
      <c r="AX114" s="5"/>
      <c r="AY114" s="669">
        <v>3.0</v>
      </c>
      <c r="AZ114" s="7"/>
      <c r="BA114" s="7"/>
      <c r="BB114" s="5"/>
      <c r="BC114" s="670"/>
      <c r="BD114" s="670"/>
      <c r="BE114" s="670"/>
      <c r="BF114" s="670"/>
      <c r="BG114" s="670"/>
      <c r="BH114" s="670"/>
      <c r="BI114" s="670"/>
      <c r="BJ114" s="670"/>
      <c r="BK114" s="670"/>
      <c r="BL114" s="670"/>
      <c r="BM114" s="670"/>
      <c r="BN114" s="670"/>
      <c r="BO114" s="670"/>
      <c r="BP114" s="670"/>
      <c r="BQ114" s="670"/>
      <c r="BR114" s="670"/>
      <c r="BS114" s="670"/>
      <c r="BT114" s="670"/>
      <c r="BU114" s="670"/>
      <c r="BV114" s="670"/>
      <c r="BW114" s="670"/>
      <c r="BX114" s="670"/>
      <c r="BY114" s="670"/>
    </row>
    <row r="115">
      <c r="A115" s="663" t="s">
        <v>538</v>
      </c>
      <c r="B115" s="7"/>
      <c r="C115" s="7"/>
      <c r="D115" s="7"/>
      <c r="E115" s="7"/>
      <c r="F115" s="7"/>
      <c r="G115" s="5"/>
      <c r="H115" s="672" t="s">
        <v>414</v>
      </c>
      <c r="I115" s="7"/>
      <c r="J115" s="5"/>
      <c r="K115" s="664" t="s">
        <v>34</v>
      </c>
      <c r="L115" s="7"/>
      <c r="M115" s="7"/>
      <c r="N115" s="5"/>
      <c r="O115" s="665">
        <v>1.0</v>
      </c>
      <c r="P115" s="5"/>
      <c r="Q115" s="665">
        <v>1.0</v>
      </c>
      <c r="R115" s="7"/>
      <c r="S115" s="7"/>
      <c r="T115" s="5"/>
      <c r="U115" s="665">
        <v>1.0</v>
      </c>
      <c r="V115" s="7"/>
      <c r="W115" s="7"/>
      <c r="X115" s="5"/>
      <c r="Y115" s="666" t="s">
        <v>411</v>
      </c>
      <c r="Z115" s="7"/>
      <c r="AA115" s="7"/>
      <c r="AB115" s="5"/>
      <c r="AC115" s="667"/>
      <c r="AD115" s="7"/>
      <c r="AE115" s="5"/>
      <c r="AF115" s="667">
        <f>Modificadores!B53</f>
        <v>2</v>
      </c>
      <c r="AG115" s="7"/>
      <c r="AH115" s="5"/>
      <c r="AI115" s="673" t="s">
        <v>539</v>
      </c>
      <c r="AJ115" s="7"/>
      <c r="AK115" s="7"/>
      <c r="AL115" s="7"/>
      <c r="AM115" s="7"/>
      <c r="AN115" s="7"/>
      <c r="AO115" s="7"/>
      <c r="AP115" s="7"/>
      <c r="AQ115" s="5"/>
      <c r="AR115" s="667"/>
      <c r="AS115" s="7"/>
      <c r="AT115" s="7"/>
      <c r="AU115" s="669" t="e">
        <v>#REF!</v>
      </c>
      <c r="AV115" s="7"/>
      <c r="AW115" s="7"/>
      <c r="AX115" s="5"/>
      <c r="AY115" s="669">
        <v>3.0</v>
      </c>
      <c r="AZ115" s="7"/>
      <c r="BA115" s="7"/>
      <c r="BB115" s="5"/>
      <c r="BC115" s="670"/>
      <c r="BD115" s="670"/>
      <c r="BE115" s="670"/>
      <c r="BF115" s="670"/>
      <c r="BG115" s="670"/>
      <c r="BH115" s="670"/>
      <c r="BI115" s="670"/>
      <c r="BJ115" s="670"/>
      <c r="BK115" s="670"/>
      <c r="BL115" s="670"/>
      <c r="BM115" s="670"/>
      <c r="BN115" s="670"/>
      <c r="BO115" s="670"/>
      <c r="BP115" s="670"/>
      <c r="BQ115" s="670"/>
      <c r="BR115" s="670"/>
      <c r="BS115" s="670"/>
      <c r="BT115" s="670"/>
      <c r="BU115" s="670"/>
      <c r="BV115" s="670"/>
      <c r="BW115" s="670"/>
      <c r="BX115" s="670"/>
      <c r="BY115" s="670"/>
    </row>
    <row r="116">
      <c r="A116" s="663" t="s">
        <v>540</v>
      </c>
      <c r="B116" s="7"/>
      <c r="C116" s="7"/>
      <c r="D116" s="7"/>
      <c r="E116" s="7"/>
      <c r="F116" s="7"/>
      <c r="G116" s="5"/>
      <c r="H116" s="672" t="s">
        <v>494</v>
      </c>
      <c r="I116" s="7"/>
      <c r="J116" s="5"/>
      <c r="K116" s="664" t="s">
        <v>34</v>
      </c>
      <c r="L116" s="7"/>
      <c r="M116" s="7"/>
      <c r="N116" s="5"/>
      <c r="O116" s="665">
        <v>1.0</v>
      </c>
      <c r="P116" s="5"/>
      <c r="Q116" s="665">
        <v>1.0</v>
      </c>
      <c r="R116" s="7"/>
      <c r="S116" s="7"/>
      <c r="T116" s="5"/>
      <c r="U116" s="665">
        <v>1.0</v>
      </c>
      <c r="V116" s="7"/>
      <c r="W116" s="7"/>
      <c r="X116" s="5"/>
      <c r="Y116" s="666" t="s">
        <v>541</v>
      </c>
      <c r="Z116" s="7"/>
      <c r="AA116" s="7"/>
      <c r="AB116" s="5"/>
      <c r="AC116" s="667"/>
      <c r="AD116" s="7"/>
      <c r="AE116" s="5"/>
      <c r="AF116" s="667">
        <f>Modificadores!B53</f>
        <v>2</v>
      </c>
      <c r="AG116" s="7"/>
      <c r="AH116" s="5"/>
      <c r="AI116" s="673" t="s">
        <v>542</v>
      </c>
      <c r="AJ116" s="7"/>
      <c r="AK116" s="7"/>
      <c r="AL116" s="7"/>
      <c r="AM116" s="7"/>
      <c r="AN116" s="7"/>
      <c r="AO116" s="7"/>
      <c r="AP116" s="7"/>
      <c r="AQ116" s="5"/>
      <c r="AR116" s="667"/>
      <c r="AS116" s="7"/>
      <c r="AT116" s="7"/>
      <c r="AU116" s="669" t="e">
        <v>#REF!</v>
      </c>
      <c r="AV116" s="7"/>
      <c r="AW116" s="7"/>
      <c r="AX116" s="5"/>
      <c r="AY116" s="669">
        <v>3.0</v>
      </c>
      <c r="AZ116" s="7"/>
      <c r="BA116" s="7"/>
      <c r="BB116" s="5"/>
      <c r="BC116" s="670"/>
      <c r="BD116" s="670"/>
      <c r="BE116" s="670"/>
      <c r="BF116" s="670"/>
      <c r="BG116" s="670"/>
      <c r="BH116" s="670"/>
      <c r="BI116" s="670"/>
      <c r="BJ116" s="670"/>
      <c r="BK116" s="670"/>
      <c r="BL116" s="670"/>
      <c r="BM116" s="670"/>
      <c r="BN116" s="670"/>
      <c r="BO116" s="670"/>
      <c r="BP116" s="670"/>
      <c r="BQ116" s="670"/>
      <c r="BR116" s="670"/>
      <c r="BS116" s="670"/>
      <c r="BT116" s="670"/>
      <c r="BU116" s="670"/>
      <c r="BV116" s="670"/>
      <c r="BW116" s="670"/>
      <c r="BX116" s="670"/>
      <c r="BY116" s="670"/>
    </row>
    <row r="117">
      <c r="A117" s="663" t="s">
        <v>543</v>
      </c>
      <c r="B117" s="7"/>
      <c r="C117" s="7"/>
      <c r="D117" s="7"/>
      <c r="E117" s="7"/>
      <c r="F117" s="7"/>
      <c r="G117" s="5"/>
      <c r="H117" s="672" t="s">
        <v>544</v>
      </c>
      <c r="I117" s="7"/>
      <c r="J117" s="5"/>
      <c r="K117" s="664" t="s">
        <v>34</v>
      </c>
      <c r="L117" s="7"/>
      <c r="M117" s="7"/>
      <c r="N117" s="5"/>
      <c r="O117" s="665">
        <v>1.0</v>
      </c>
      <c r="P117" s="5"/>
      <c r="Q117" s="665">
        <v>1.0</v>
      </c>
      <c r="R117" s="7"/>
      <c r="S117" s="7"/>
      <c r="T117" s="5"/>
      <c r="U117" s="665">
        <v>1.0</v>
      </c>
      <c r="V117" s="7"/>
      <c r="W117" s="7"/>
      <c r="X117" s="5"/>
      <c r="Y117" s="666" t="s">
        <v>399</v>
      </c>
      <c r="Z117" s="7"/>
      <c r="AA117" s="7"/>
      <c r="AB117" s="5"/>
      <c r="AC117" s="667"/>
      <c r="AD117" s="7"/>
      <c r="AE117" s="5"/>
      <c r="AF117" s="667"/>
      <c r="AG117" s="7"/>
      <c r="AH117" s="5"/>
      <c r="AI117" s="673" t="s">
        <v>545</v>
      </c>
      <c r="AJ117" s="7"/>
      <c r="AK117" s="7"/>
      <c r="AL117" s="7"/>
      <c r="AM117" s="7"/>
      <c r="AN117" s="7"/>
      <c r="AO117" s="7"/>
      <c r="AP117" s="7"/>
      <c r="AQ117" s="5"/>
      <c r="AR117" s="667"/>
      <c r="AS117" s="7"/>
      <c r="AT117" s="7"/>
      <c r="AU117" s="669" t="e">
        <v>#REF!</v>
      </c>
      <c r="AV117" s="7"/>
      <c r="AW117" s="7"/>
      <c r="AX117" s="5"/>
      <c r="AY117" s="669">
        <v>3.0</v>
      </c>
      <c r="AZ117" s="7"/>
      <c r="BA117" s="7"/>
      <c r="BB117" s="5"/>
      <c r="BC117" s="670"/>
      <c r="BD117" s="670"/>
      <c r="BE117" s="670"/>
      <c r="BF117" s="670"/>
      <c r="BG117" s="670"/>
      <c r="BH117" s="670"/>
      <c r="BI117" s="670"/>
      <c r="BJ117" s="670"/>
      <c r="BK117" s="670"/>
      <c r="BL117" s="670"/>
      <c r="BM117" s="670"/>
      <c r="BN117" s="670"/>
      <c r="BO117" s="670"/>
      <c r="BP117" s="670"/>
      <c r="BQ117" s="670"/>
      <c r="BR117" s="670"/>
      <c r="BS117" s="670"/>
      <c r="BT117" s="670"/>
      <c r="BU117" s="670"/>
      <c r="BV117" s="670"/>
      <c r="BW117" s="670"/>
      <c r="BX117" s="670"/>
      <c r="BY117" s="670"/>
    </row>
    <row r="118">
      <c r="A118" s="663" t="s">
        <v>155</v>
      </c>
      <c r="B118" s="7"/>
      <c r="C118" s="7"/>
      <c r="D118" s="7"/>
      <c r="E118" s="7"/>
      <c r="F118" s="7"/>
      <c r="G118" s="5"/>
      <c r="H118" s="667"/>
      <c r="I118" s="7"/>
      <c r="J118" s="5"/>
      <c r="K118" s="667"/>
      <c r="L118" s="7"/>
      <c r="M118" s="7"/>
      <c r="N118" s="5"/>
      <c r="O118" s="675"/>
      <c r="P118" s="5"/>
      <c r="Q118" s="675"/>
      <c r="R118" s="7"/>
      <c r="S118" s="7"/>
      <c r="T118" s="5"/>
      <c r="U118" s="675"/>
      <c r="V118" s="7"/>
      <c r="W118" s="7"/>
      <c r="X118" s="5"/>
      <c r="Y118" s="667"/>
      <c r="Z118" s="7"/>
      <c r="AA118" s="7"/>
      <c r="AB118" s="5"/>
      <c r="AC118" s="667"/>
      <c r="AD118" s="7"/>
      <c r="AE118" s="5"/>
      <c r="AF118" s="667"/>
      <c r="AG118" s="7"/>
      <c r="AH118" s="7"/>
      <c r="AI118" s="667"/>
      <c r="AJ118" s="7"/>
      <c r="AK118" s="7"/>
      <c r="AL118" s="7"/>
      <c r="AM118" s="7"/>
      <c r="AN118" s="7"/>
      <c r="AO118" s="7"/>
      <c r="AP118" s="7"/>
      <c r="AQ118" s="5"/>
      <c r="AR118" s="667"/>
      <c r="AS118" s="7"/>
      <c r="AT118" s="7"/>
      <c r="AU118" s="676"/>
      <c r="AV118" s="7"/>
      <c r="AW118" s="7"/>
      <c r="AX118" s="5"/>
      <c r="AY118" s="676"/>
      <c r="AZ118" s="7"/>
      <c r="BA118" s="7"/>
      <c r="BB118" s="5"/>
      <c r="BC118" s="670"/>
      <c r="BD118" s="670"/>
      <c r="BE118" s="670"/>
      <c r="BF118" s="670"/>
      <c r="BG118" s="670"/>
      <c r="BH118" s="670"/>
      <c r="BI118" s="670"/>
      <c r="BJ118" s="670"/>
      <c r="BK118" s="670"/>
      <c r="BL118" s="670"/>
      <c r="BM118" s="670"/>
      <c r="BN118" s="670"/>
      <c r="BO118" s="670"/>
      <c r="BP118" s="670"/>
      <c r="BQ118" s="670"/>
      <c r="BR118" s="670"/>
      <c r="BS118" s="670"/>
      <c r="BT118" s="670"/>
      <c r="BU118" s="670"/>
      <c r="BV118" s="670"/>
      <c r="BW118" s="670"/>
      <c r="BX118" s="670"/>
      <c r="BY118" s="670"/>
    </row>
    <row r="119">
      <c r="A119" s="667"/>
      <c r="B119" s="7"/>
      <c r="C119" s="7"/>
      <c r="D119" s="7"/>
      <c r="E119" s="7"/>
      <c r="F119" s="7"/>
      <c r="G119" s="5"/>
      <c r="H119" s="667"/>
      <c r="I119" s="7"/>
      <c r="J119" s="5"/>
      <c r="K119" s="667"/>
      <c r="L119" s="7"/>
      <c r="M119" s="7"/>
      <c r="N119" s="5"/>
      <c r="O119" s="675"/>
      <c r="P119" s="5"/>
      <c r="Q119" s="675"/>
      <c r="R119" s="7"/>
      <c r="S119" s="7"/>
      <c r="T119" s="5"/>
      <c r="U119" s="675"/>
      <c r="V119" s="7"/>
      <c r="W119" s="7"/>
      <c r="X119" s="5"/>
      <c r="Y119" s="667"/>
      <c r="Z119" s="7"/>
      <c r="AA119" s="7"/>
      <c r="AB119" s="5"/>
      <c r="AC119" s="667"/>
      <c r="AD119" s="7"/>
      <c r="AE119" s="5"/>
      <c r="AF119" s="667"/>
      <c r="AG119" s="7"/>
      <c r="AH119" s="7"/>
      <c r="AI119" s="667"/>
      <c r="AJ119" s="7"/>
      <c r="AK119" s="7"/>
      <c r="AL119" s="7"/>
      <c r="AM119" s="7"/>
      <c r="AN119" s="7"/>
      <c r="AO119" s="7"/>
      <c r="AP119" s="7"/>
      <c r="AQ119" s="5"/>
      <c r="AR119" s="667"/>
      <c r="AS119" s="7"/>
      <c r="AT119" s="7"/>
      <c r="AU119" s="676"/>
      <c r="AV119" s="7"/>
      <c r="AW119" s="7"/>
      <c r="AX119" s="5"/>
      <c r="AY119" s="676"/>
      <c r="AZ119" s="7"/>
      <c r="BA119" s="7"/>
      <c r="BB119" s="5"/>
      <c r="BC119" s="670"/>
      <c r="BD119" s="670"/>
      <c r="BE119" s="670"/>
      <c r="BF119" s="670"/>
      <c r="BG119" s="670"/>
      <c r="BH119" s="670"/>
      <c r="BI119" s="670"/>
      <c r="BJ119" s="670"/>
      <c r="BK119" s="670"/>
      <c r="BL119" s="670"/>
      <c r="BM119" s="670"/>
      <c r="BN119" s="670"/>
      <c r="BO119" s="670"/>
      <c r="BP119" s="670"/>
      <c r="BQ119" s="670"/>
      <c r="BR119" s="670"/>
      <c r="BS119" s="670"/>
      <c r="BT119" s="670"/>
      <c r="BU119" s="670"/>
      <c r="BV119" s="670"/>
      <c r="BW119" s="670"/>
      <c r="BX119" s="670"/>
      <c r="BY119" s="670"/>
    </row>
    <row r="120">
      <c r="A120" s="667"/>
      <c r="B120" s="7"/>
      <c r="C120" s="7"/>
      <c r="D120" s="7"/>
      <c r="E120" s="7"/>
      <c r="F120" s="7"/>
      <c r="G120" s="5"/>
      <c r="H120" s="667"/>
      <c r="I120" s="7"/>
      <c r="J120" s="5"/>
      <c r="K120" s="667"/>
      <c r="L120" s="7"/>
      <c r="M120" s="7"/>
      <c r="N120" s="5"/>
      <c r="O120" s="675"/>
      <c r="P120" s="5"/>
      <c r="Q120" s="675"/>
      <c r="R120" s="7"/>
      <c r="S120" s="7"/>
      <c r="T120" s="5"/>
      <c r="U120" s="675"/>
      <c r="V120" s="7"/>
      <c r="W120" s="7"/>
      <c r="X120" s="5"/>
      <c r="Y120" s="667"/>
      <c r="Z120" s="7"/>
      <c r="AA120" s="7"/>
      <c r="AB120" s="5"/>
      <c r="AC120" s="667"/>
      <c r="AD120" s="7"/>
      <c r="AE120" s="5"/>
      <c r="AF120" s="667"/>
      <c r="AG120" s="7"/>
      <c r="AH120" s="7"/>
      <c r="AI120" s="667"/>
      <c r="AJ120" s="7"/>
      <c r="AK120" s="7"/>
      <c r="AL120" s="7"/>
      <c r="AM120" s="7"/>
      <c r="AN120" s="7"/>
      <c r="AO120" s="7"/>
      <c r="AP120" s="7"/>
      <c r="AQ120" s="5"/>
      <c r="AR120" s="667"/>
      <c r="AS120" s="7"/>
      <c r="AT120" s="7"/>
      <c r="AU120" s="676"/>
      <c r="AV120" s="7"/>
      <c r="AW120" s="7"/>
      <c r="AX120" s="5"/>
      <c r="AY120" s="676"/>
      <c r="AZ120" s="7"/>
      <c r="BA120" s="7"/>
      <c r="BB120" s="5"/>
      <c r="BC120" s="670"/>
      <c r="BD120" s="670"/>
      <c r="BE120" s="670"/>
      <c r="BF120" s="670"/>
      <c r="BG120" s="670"/>
      <c r="BH120" s="670"/>
      <c r="BI120" s="670"/>
      <c r="BJ120" s="670"/>
      <c r="BK120" s="670"/>
      <c r="BL120" s="670"/>
      <c r="BM120" s="670"/>
      <c r="BN120" s="670"/>
      <c r="BO120" s="670"/>
      <c r="BP120" s="670"/>
      <c r="BQ120" s="670"/>
      <c r="BR120" s="670"/>
      <c r="BS120" s="670"/>
      <c r="BT120" s="670"/>
      <c r="BU120" s="670"/>
      <c r="BV120" s="670"/>
      <c r="BW120" s="670"/>
      <c r="BX120" s="670"/>
      <c r="BY120" s="670"/>
    </row>
    <row r="121">
      <c r="A121" s="667"/>
      <c r="B121" s="7"/>
      <c r="C121" s="7"/>
      <c r="D121" s="7"/>
      <c r="E121" s="7"/>
      <c r="F121" s="7"/>
      <c r="G121" s="5"/>
      <c r="H121" s="667"/>
      <c r="I121" s="7"/>
      <c r="J121" s="5"/>
      <c r="K121" s="667"/>
      <c r="L121" s="7"/>
      <c r="M121" s="7"/>
      <c r="N121" s="5"/>
      <c r="O121" s="675"/>
      <c r="P121" s="5"/>
      <c r="Q121" s="675"/>
      <c r="R121" s="7"/>
      <c r="S121" s="7"/>
      <c r="T121" s="5"/>
      <c r="U121" s="675"/>
      <c r="V121" s="7"/>
      <c r="W121" s="7"/>
      <c r="X121" s="5"/>
      <c r="Y121" s="667"/>
      <c r="Z121" s="7"/>
      <c r="AA121" s="7"/>
      <c r="AB121" s="5"/>
      <c r="AC121" s="667"/>
      <c r="AD121" s="7"/>
      <c r="AE121" s="5"/>
      <c r="AF121" s="667"/>
      <c r="AG121" s="7"/>
      <c r="AH121" s="7"/>
      <c r="AI121" s="667"/>
      <c r="AJ121" s="7"/>
      <c r="AK121" s="7"/>
      <c r="AL121" s="7"/>
      <c r="AM121" s="7"/>
      <c r="AN121" s="7"/>
      <c r="AO121" s="7"/>
      <c r="AP121" s="7"/>
      <c r="AQ121" s="5"/>
      <c r="AR121" s="667"/>
      <c r="AS121" s="7"/>
      <c r="AT121" s="7"/>
      <c r="AU121" s="676"/>
      <c r="AV121" s="7"/>
      <c r="AW121" s="7"/>
      <c r="AX121" s="5"/>
      <c r="AY121" s="676"/>
      <c r="AZ121" s="7"/>
      <c r="BA121" s="7"/>
      <c r="BB121" s="5"/>
      <c r="BC121" s="670"/>
      <c r="BD121" s="670"/>
      <c r="BE121" s="670"/>
      <c r="BF121" s="670"/>
      <c r="BG121" s="670"/>
      <c r="BH121" s="670"/>
      <c r="BI121" s="670"/>
      <c r="BJ121" s="670"/>
      <c r="BK121" s="670"/>
      <c r="BL121" s="670"/>
      <c r="BM121" s="670"/>
      <c r="BN121" s="670"/>
      <c r="BO121" s="670"/>
      <c r="BP121" s="670"/>
      <c r="BQ121" s="670"/>
      <c r="BR121" s="670"/>
      <c r="BS121" s="670"/>
      <c r="BT121" s="670"/>
      <c r="BU121" s="670"/>
      <c r="BV121" s="670"/>
      <c r="BW121" s="670"/>
      <c r="BX121" s="670"/>
      <c r="BY121" s="670"/>
    </row>
    <row r="122">
      <c r="A122" s="667"/>
      <c r="B122" s="7"/>
      <c r="C122" s="7"/>
      <c r="D122" s="7"/>
      <c r="E122" s="7"/>
      <c r="F122" s="7"/>
      <c r="G122" s="5"/>
      <c r="H122" s="667"/>
      <c r="I122" s="7"/>
      <c r="J122" s="5"/>
      <c r="K122" s="667"/>
      <c r="L122" s="7"/>
      <c r="M122" s="7"/>
      <c r="N122" s="5"/>
      <c r="O122" s="675"/>
      <c r="P122" s="5"/>
      <c r="Q122" s="675"/>
      <c r="R122" s="7"/>
      <c r="S122" s="7"/>
      <c r="T122" s="5"/>
      <c r="U122" s="675"/>
      <c r="V122" s="7"/>
      <c r="W122" s="7"/>
      <c r="X122" s="5"/>
      <c r="Y122" s="667"/>
      <c r="Z122" s="7"/>
      <c r="AA122" s="7"/>
      <c r="AB122" s="5"/>
      <c r="AC122" s="667"/>
      <c r="AD122" s="7"/>
      <c r="AE122" s="5"/>
      <c r="AF122" s="667"/>
      <c r="AG122" s="7"/>
      <c r="AH122" s="7"/>
      <c r="AI122" s="667"/>
      <c r="AJ122" s="7"/>
      <c r="AK122" s="7"/>
      <c r="AL122" s="7"/>
      <c r="AM122" s="7"/>
      <c r="AN122" s="7"/>
      <c r="AO122" s="7"/>
      <c r="AP122" s="7"/>
      <c r="AQ122" s="5"/>
      <c r="AR122" s="667"/>
      <c r="AS122" s="7"/>
      <c r="AT122" s="7"/>
      <c r="AU122" s="676"/>
      <c r="AV122" s="7"/>
      <c r="AW122" s="7"/>
      <c r="AX122" s="5"/>
      <c r="AY122" s="676"/>
      <c r="AZ122" s="7"/>
      <c r="BA122" s="7"/>
      <c r="BB122" s="5"/>
      <c r="BC122" s="670"/>
      <c r="BD122" s="670"/>
      <c r="BE122" s="670"/>
      <c r="BF122" s="670"/>
      <c r="BG122" s="670"/>
      <c r="BH122" s="670"/>
      <c r="BI122" s="670"/>
      <c r="BJ122" s="670"/>
      <c r="BK122" s="670"/>
      <c r="BL122" s="670"/>
      <c r="BM122" s="670"/>
      <c r="BN122" s="670"/>
      <c r="BO122" s="670"/>
      <c r="BP122" s="670"/>
      <c r="BQ122" s="670"/>
      <c r="BR122" s="670"/>
      <c r="BS122" s="670"/>
      <c r="BT122" s="670"/>
      <c r="BU122" s="670"/>
      <c r="BV122" s="670"/>
      <c r="BW122" s="670"/>
      <c r="BX122" s="670"/>
      <c r="BY122" s="670"/>
    </row>
    <row r="123">
      <c r="A123" s="667"/>
      <c r="B123" s="7"/>
      <c r="C123" s="7"/>
      <c r="D123" s="7"/>
      <c r="E123" s="7"/>
      <c r="F123" s="7"/>
      <c r="G123" s="5"/>
      <c r="H123" s="667"/>
      <c r="I123" s="7"/>
      <c r="J123" s="5"/>
      <c r="K123" s="667"/>
      <c r="L123" s="7"/>
      <c r="M123" s="7"/>
      <c r="N123" s="5"/>
      <c r="O123" s="675"/>
      <c r="P123" s="5"/>
      <c r="Q123" s="675"/>
      <c r="R123" s="7"/>
      <c r="S123" s="7"/>
      <c r="T123" s="5"/>
      <c r="U123" s="675"/>
      <c r="V123" s="7"/>
      <c r="W123" s="7"/>
      <c r="X123" s="5"/>
      <c r="Y123" s="667"/>
      <c r="Z123" s="7"/>
      <c r="AA123" s="7"/>
      <c r="AB123" s="5"/>
      <c r="AC123" s="667"/>
      <c r="AD123" s="7"/>
      <c r="AE123" s="5"/>
      <c r="AF123" s="667"/>
      <c r="AG123" s="7"/>
      <c r="AH123" s="7"/>
      <c r="AI123" s="667"/>
      <c r="AJ123" s="7"/>
      <c r="AK123" s="7"/>
      <c r="AL123" s="7"/>
      <c r="AM123" s="7"/>
      <c r="AN123" s="7"/>
      <c r="AO123" s="7"/>
      <c r="AP123" s="7"/>
      <c r="AQ123" s="5"/>
      <c r="AR123" s="667"/>
      <c r="AS123" s="7"/>
      <c r="AT123" s="7"/>
      <c r="AU123" s="676"/>
      <c r="AV123" s="7"/>
      <c r="AW123" s="7"/>
      <c r="AX123" s="5"/>
      <c r="AY123" s="676"/>
      <c r="AZ123" s="7"/>
      <c r="BA123" s="7"/>
      <c r="BB123" s="5"/>
      <c r="BC123" s="670"/>
      <c r="BD123" s="670"/>
      <c r="BE123" s="670"/>
      <c r="BF123" s="670"/>
      <c r="BG123" s="670"/>
      <c r="BH123" s="670"/>
      <c r="BI123" s="670"/>
      <c r="BJ123" s="670"/>
      <c r="BK123" s="670"/>
      <c r="BL123" s="670"/>
      <c r="BM123" s="670"/>
      <c r="BN123" s="670"/>
      <c r="BO123" s="670"/>
      <c r="BP123" s="670"/>
      <c r="BQ123" s="670"/>
      <c r="BR123" s="670"/>
      <c r="BS123" s="670"/>
      <c r="BT123" s="670"/>
      <c r="BU123" s="670"/>
      <c r="BV123" s="670"/>
      <c r="BW123" s="670"/>
      <c r="BX123" s="670"/>
      <c r="BY123" s="670"/>
    </row>
    <row r="124">
      <c r="A124" s="667"/>
      <c r="B124" s="7"/>
      <c r="C124" s="7"/>
      <c r="D124" s="7"/>
      <c r="E124" s="7"/>
      <c r="F124" s="7"/>
      <c r="G124" s="5"/>
      <c r="H124" s="667"/>
      <c r="I124" s="7"/>
      <c r="J124" s="5"/>
      <c r="K124" s="667"/>
      <c r="L124" s="7"/>
      <c r="M124" s="7"/>
      <c r="N124" s="5"/>
      <c r="O124" s="675"/>
      <c r="P124" s="5"/>
      <c r="Q124" s="675"/>
      <c r="R124" s="7"/>
      <c r="S124" s="7"/>
      <c r="T124" s="5"/>
      <c r="U124" s="675"/>
      <c r="V124" s="7"/>
      <c r="W124" s="7"/>
      <c r="X124" s="5"/>
      <c r="Y124" s="667"/>
      <c r="Z124" s="7"/>
      <c r="AA124" s="7"/>
      <c r="AB124" s="5"/>
      <c r="AC124" s="667"/>
      <c r="AD124" s="7"/>
      <c r="AE124" s="5"/>
      <c r="AF124" s="667"/>
      <c r="AG124" s="7"/>
      <c r="AH124" s="7"/>
      <c r="AI124" s="667"/>
      <c r="AJ124" s="7"/>
      <c r="AK124" s="7"/>
      <c r="AL124" s="7"/>
      <c r="AM124" s="7"/>
      <c r="AN124" s="7"/>
      <c r="AO124" s="7"/>
      <c r="AP124" s="7"/>
      <c r="AQ124" s="5"/>
      <c r="AR124" s="667"/>
      <c r="AS124" s="7"/>
      <c r="AT124" s="7"/>
      <c r="AU124" s="676"/>
      <c r="AV124" s="7"/>
      <c r="AW124" s="7"/>
      <c r="AX124" s="5"/>
      <c r="AY124" s="676"/>
      <c r="AZ124" s="7"/>
      <c r="BA124" s="7"/>
      <c r="BB124" s="5"/>
      <c r="BC124" s="670"/>
      <c r="BD124" s="670"/>
      <c r="BE124" s="670"/>
      <c r="BF124" s="670"/>
      <c r="BG124" s="670"/>
      <c r="BH124" s="670"/>
      <c r="BI124" s="670"/>
      <c r="BJ124" s="670"/>
      <c r="BK124" s="670"/>
      <c r="BL124" s="670"/>
      <c r="BM124" s="670"/>
      <c r="BN124" s="670"/>
      <c r="BO124" s="670"/>
      <c r="BP124" s="670"/>
      <c r="BQ124" s="670"/>
      <c r="BR124" s="670"/>
      <c r="BS124" s="670"/>
      <c r="BT124" s="670"/>
      <c r="BU124" s="670"/>
      <c r="BV124" s="670"/>
      <c r="BW124" s="670"/>
      <c r="BX124" s="670"/>
      <c r="BY124" s="670"/>
    </row>
    <row r="125">
      <c r="A125" s="667"/>
      <c r="B125" s="7"/>
      <c r="C125" s="7"/>
      <c r="D125" s="7"/>
      <c r="E125" s="7"/>
      <c r="F125" s="7"/>
      <c r="G125" s="5"/>
      <c r="H125" s="667"/>
      <c r="I125" s="7"/>
      <c r="J125" s="5"/>
      <c r="K125" s="667"/>
      <c r="L125" s="7"/>
      <c r="M125" s="7"/>
      <c r="N125" s="5"/>
      <c r="O125" s="675"/>
      <c r="P125" s="5"/>
      <c r="Q125" s="675"/>
      <c r="R125" s="7"/>
      <c r="S125" s="7"/>
      <c r="T125" s="5"/>
      <c r="U125" s="675"/>
      <c r="V125" s="7"/>
      <c r="W125" s="7"/>
      <c r="X125" s="5"/>
      <c r="Y125" s="667"/>
      <c r="Z125" s="7"/>
      <c r="AA125" s="7"/>
      <c r="AB125" s="5"/>
      <c r="AC125" s="667"/>
      <c r="AD125" s="7"/>
      <c r="AE125" s="5"/>
      <c r="AF125" s="667"/>
      <c r="AG125" s="7"/>
      <c r="AH125" s="7"/>
      <c r="AI125" s="667"/>
      <c r="AJ125" s="7"/>
      <c r="AK125" s="7"/>
      <c r="AL125" s="7"/>
      <c r="AM125" s="7"/>
      <c r="AN125" s="7"/>
      <c r="AO125" s="7"/>
      <c r="AP125" s="7"/>
      <c r="AQ125" s="5"/>
      <c r="AR125" s="667"/>
      <c r="AS125" s="7"/>
      <c r="AT125" s="7"/>
      <c r="AU125" s="676"/>
      <c r="AV125" s="7"/>
      <c r="AW125" s="7"/>
      <c r="AX125" s="5"/>
      <c r="AY125" s="676"/>
      <c r="AZ125" s="7"/>
      <c r="BA125" s="7"/>
      <c r="BB125" s="5"/>
      <c r="BC125" s="670"/>
      <c r="BD125" s="670"/>
      <c r="BE125" s="670"/>
      <c r="BF125" s="670"/>
      <c r="BG125" s="670"/>
      <c r="BH125" s="670"/>
      <c r="BI125" s="670"/>
      <c r="BJ125" s="670"/>
      <c r="BK125" s="670"/>
      <c r="BL125" s="670"/>
      <c r="BM125" s="670"/>
      <c r="BN125" s="670"/>
      <c r="BO125" s="670"/>
      <c r="BP125" s="670"/>
      <c r="BQ125" s="670"/>
      <c r="BR125" s="670"/>
      <c r="BS125" s="670"/>
      <c r="BT125" s="670"/>
      <c r="BU125" s="670"/>
      <c r="BV125" s="670"/>
      <c r="BW125" s="670"/>
      <c r="BX125" s="670"/>
      <c r="BY125" s="670"/>
    </row>
    <row r="126">
      <c r="A126" s="677"/>
      <c r="U126" s="655"/>
      <c r="V126" s="358"/>
      <c r="AH126" s="656"/>
      <c r="AI126" s="658"/>
      <c r="BC126" s="658"/>
      <c r="BD126" s="658"/>
      <c r="BE126" s="658"/>
      <c r="BF126" s="658"/>
      <c r="BG126" s="658"/>
      <c r="BH126" s="658"/>
      <c r="BI126" s="658"/>
      <c r="BJ126" s="658"/>
      <c r="BK126" s="658"/>
      <c r="BL126" s="658"/>
      <c r="BM126" s="658"/>
      <c r="BN126" s="658"/>
      <c r="BO126" s="658"/>
      <c r="BP126" s="658"/>
      <c r="BQ126" s="658"/>
      <c r="BR126" s="658"/>
      <c r="BS126" s="658"/>
      <c r="BT126" s="658"/>
      <c r="BU126" s="658"/>
      <c r="BV126" s="658"/>
      <c r="BW126" s="658"/>
      <c r="BX126" s="658"/>
      <c r="BY126" s="658"/>
    </row>
    <row r="127">
      <c r="A127" s="678"/>
      <c r="B127" s="679" t="s">
        <v>546</v>
      </c>
      <c r="G127" s="679" t="s">
        <v>216</v>
      </c>
      <c r="L127" s="679" t="s">
        <v>547</v>
      </c>
      <c r="Q127" s="679" t="s">
        <v>548</v>
      </c>
      <c r="V127" s="679" t="s">
        <v>34</v>
      </c>
      <c r="W127" s="679" t="s">
        <v>52</v>
      </c>
      <c r="X127" s="679" t="s">
        <v>65</v>
      </c>
      <c r="Y127" s="679" t="s">
        <v>80</v>
      </c>
      <c r="Z127" s="679" t="s">
        <v>100</v>
      </c>
      <c r="AA127" s="679" t="s">
        <v>119</v>
      </c>
      <c r="AB127" s="679" t="s">
        <v>549</v>
      </c>
      <c r="AG127" s="679" t="s">
        <v>550</v>
      </c>
      <c r="AL127" s="679" t="s">
        <v>551</v>
      </c>
      <c r="AQ127" s="679" t="s">
        <v>552</v>
      </c>
      <c r="AT127" s="679" t="s">
        <v>553</v>
      </c>
      <c r="AW127" s="679" t="s">
        <v>554</v>
      </c>
      <c r="BB127" s="679" t="s">
        <v>555</v>
      </c>
      <c r="BE127" s="679" t="s">
        <v>556</v>
      </c>
      <c r="BH127" s="679" t="s">
        <v>557</v>
      </c>
      <c r="BM127" s="679" t="s">
        <v>558</v>
      </c>
      <c r="BR127" s="679" t="s">
        <v>559</v>
      </c>
      <c r="BW127" s="679" t="s">
        <v>560</v>
      </c>
    </row>
    <row r="128">
      <c r="A128" s="680">
        <v>1.0</v>
      </c>
      <c r="B128" s="681" t="s">
        <v>561</v>
      </c>
      <c r="C128" s="682"/>
      <c r="D128" s="682"/>
      <c r="E128" s="682"/>
      <c r="F128" s="683"/>
      <c r="G128" s="681" t="s">
        <v>562</v>
      </c>
      <c r="H128" s="682"/>
      <c r="I128" s="682"/>
      <c r="J128" s="682"/>
      <c r="K128" s="683"/>
      <c r="L128" s="681">
        <v>10.0</v>
      </c>
      <c r="M128" s="682"/>
      <c r="N128" s="682"/>
      <c r="O128" s="682"/>
      <c r="P128" s="683"/>
      <c r="Q128" s="684">
        <v>4.0</v>
      </c>
      <c r="R128" s="684">
        <v>6.0</v>
      </c>
      <c r="S128" s="684">
        <v>9.0</v>
      </c>
      <c r="T128" s="684">
        <v>12.0</v>
      </c>
      <c r="U128" s="684">
        <v>15.0</v>
      </c>
      <c r="V128" s="685">
        <v>16.0</v>
      </c>
      <c r="W128" s="685">
        <v>10.0</v>
      </c>
      <c r="X128" s="685">
        <v>14.0</v>
      </c>
      <c r="Y128" s="685">
        <v>10.0</v>
      </c>
      <c r="Z128" s="685">
        <v>12.0</v>
      </c>
      <c r="AA128" s="685">
        <v>10.0</v>
      </c>
      <c r="AB128" s="686" t="s">
        <v>563</v>
      </c>
      <c r="AC128" s="686" t="s">
        <v>564</v>
      </c>
      <c r="AD128" s="686" t="s">
        <v>564</v>
      </c>
      <c r="AE128" s="686" t="s">
        <v>565</v>
      </c>
      <c r="AF128" s="686" t="s">
        <v>566</v>
      </c>
      <c r="AG128" s="681" t="str">
        <f>((#REF!-10)/2)</f>
        <v>#REF!</v>
      </c>
      <c r="AH128" s="682"/>
      <c r="AI128" s="682"/>
      <c r="AJ128" s="682"/>
      <c r="AK128" s="683"/>
      <c r="AL128" s="681" t="str">
        <f t="shared" ref="AL128:AL135" si="10">((#REF!-10)/2)</f>
        <v>#REF!</v>
      </c>
      <c r="AM128" s="682"/>
      <c r="AN128" s="682"/>
      <c r="AO128" s="682"/>
      <c r="AP128" s="683"/>
      <c r="AQ128" s="686" t="s">
        <v>34</v>
      </c>
      <c r="AR128" s="686" t="s">
        <v>65</v>
      </c>
      <c r="AS128" s="686" t="s">
        <v>100</v>
      </c>
      <c r="AT128" s="687" t="str">
        <f t="shared" ref="AT128:AV128" si="8">rounddown((#REF!-10)/2,0)+Prof</f>
        <v>#REF!</v>
      </c>
      <c r="AU128" s="687" t="str">
        <f t="shared" si="8"/>
        <v>#REF!</v>
      </c>
      <c r="AV128" s="687" t="str">
        <f t="shared" si="8"/>
        <v>#REF!</v>
      </c>
      <c r="AW128" s="685">
        <v>30.0</v>
      </c>
      <c r="AX128" s="685">
        <v>30.0</v>
      </c>
      <c r="AY128" s="685">
        <v>40.0</v>
      </c>
      <c r="AZ128" s="685">
        <v>40.0</v>
      </c>
      <c r="BA128" s="685">
        <v>50.0</v>
      </c>
      <c r="BB128" s="686" t="s">
        <v>567</v>
      </c>
      <c r="BC128" s="686" t="s">
        <v>568</v>
      </c>
      <c r="BD128" s="686" t="s">
        <v>569</v>
      </c>
      <c r="BE128" s="687" t="str">
        <f t="shared" ref="BE128:BG128" si="9">rounddown((#REF!-10)/2,0)+Prof</f>
        <v>#REF!</v>
      </c>
      <c r="BF128" s="687" t="str">
        <f t="shared" si="9"/>
        <v>#REF!</v>
      </c>
      <c r="BG128" s="687" t="str">
        <f t="shared" si="9"/>
        <v>#REF!</v>
      </c>
      <c r="BH128" s="688" t="s">
        <v>570</v>
      </c>
      <c r="BI128" s="682"/>
      <c r="BJ128" s="682"/>
      <c r="BK128" s="682"/>
      <c r="BL128" s="683"/>
      <c r="BM128" s="688" t="s">
        <v>571</v>
      </c>
      <c r="BN128" s="683"/>
      <c r="BO128" s="686" t="str">
        <f t="shared" ref="BO128:BO129" si="13">"+"&amp;(ROUNDDOWN((#REF!-10)/2,0)&amp;" Slashing Damage")</f>
        <v>#REF!</v>
      </c>
      <c r="BP128" s="688" t="s">
        <v>572</v>
      </c>
      <c r="BQ128" s="683"/>
      <c r="BR128" s="688" t="s">
        <v>573</v>
      </c>
      <c r="BS128" s="683"/>
      <c r="BT128" s="686" t="str">
        <f t="shared" ref="BT128:BT129" si="14">"+"&amp;(ROUNDDOWN((#REF!-10)/2,0))&amp;" Piercing Damage"</f>
        <v>#REF!</v>
      </c>
      <c r="BU128" s="688" t="s">
        <v>574</v>
      </c>
      <c r="BV128" s="683"/>
      <c r="BW128" s="688" t="s">
        <v>575</v>
      </c>
      <c r="BX128" s="682"/>
      <c r="BY128" s="683"/>
    </row>
    <row r="129">
      <c r="A129" s="680">
        <f t="shared" ref="A129:A152" si="15">A128+1</f>
        <v>2</v>
      </c>
      <c r="B129" s="681" t="s">
        <v>324</v>
      </c>
      <c r="C129" s="682"/>
      <c r="D129" s="682"/>
      <c r="E129" s="682"/>
      <c r="F129" s="683"/>
      <c r="G129" s="681" t="s">
        <v>562</v>
      </c>
      <c r="H129" s="682"/>
      <c r="I129" s="682"/>
      <c r="J129" s="682"/>
      <c r="K129" s="683"/>
      <c r="L129" s="681">
        <v>8.0</v>
      </c>
      <c r="M129" s="682"/>
      <c r="N129" s="682"/>
      <c r="O129" s="682"/>
      <c r="P129" s="683"/>
      <c r="Q129" s="685">
        <v>5.0</v>
      </c>
      <c r="R129" s="685">
        <v>7.0</v>
      </c>
      <c r="S129" s="685">
        <v>10.0</v>
      </c>
      <c r="T129" s="685">
        <v>13.0</v>
      </c>
      <c r="U129" s="685">
        <v>16.0</v>
      </c>
      <c r="V129" s="685">
        <v>8.0</v>
      </c>
      <c r="W129" s="685">
        <v>14.0</v>
      </c>
      <c r="X129" s="685">
        <v>12.0</v>
      </c>
      <c r="Y129" s="685">
        <v>10.0</v>
      </c>
      <c r="Z129" s="685">
        <v>13.0</v>
      </c>
      <c r="AA129" s="685">
        <v>14.0</v>
      </c>
      <c r="AB129" s="689" t="s">
        <v>576</v>
      </c>
      <c r="AC129" s="689" t="s">
        <v>577</v>
      </c>
      <c r="AD129" s="689" t="s">
        <v>577</v>
      </c>
      <c r="AE129" s="689" t="s">
        <v>578</v>
      </c>
      <c r="AF129" s="689" t="s">
        <v>579</v>
      </c>
      <c r="AG129" s="681" t="str">
        <f>ROUNDDOWN((#REF!-10)/2,0)</f>
        <v>#REF!</v>
      </c>
      <c r="AH129" s="682"/>
      <c r="AI129" s="682"/>
      <c r="AJ129" s="682"/>
      <c r="AK129" s="683"/>
      <c r="AL129" s="681" t="str">
        <f t="shared" si="10"/>
        <v>#REF!</v>
      </c>
      <c r="AM129" s="682"/>
      <c r="AN129" s="682"/>
      <c r="AO129" s="682"/>
      <c r="AP129" s="683"/>
      <c r="AQ129" s="689" t="s">
        <v>52</v>
      </c>
      <c r="AR129" s="689" t="s">
        <v>119</v>
      </c>
      <c r="AS129" s="689" t="s">
        <v>80</v>
      </c>
      <c r="AT129" s="690" t="str">
        <f t="shared" ref="AT129:AV129" si="11">rounddown((#REF!-10)/2,0)+Prof</f>
        <v>#REF!</v>
      </c>
      <c r="AU129" s="691" t="str">
        <f t="shared" si="11"/>
        <v>#REF!</v>
      </c>
      <c r="AV129" s="690" t="str">
        <f t="shared" si="11"/>
        <v>#REF!</v>
      </c>
      <c r="AW129" s="685">
        <v>30.0</v>
      </c>
      <c r="AX129" s="685">
        <v>40.0</v>
      </c>
      <c r="AY129" s="685">
        <v>45.0</v>
      </c>
      <c r="AZ129" s="685">
        <v>60.0</v>
      </c>
      <c r="BA129" s="685">
        <v>70.0</v>
      </c>
      <c r="BB129" s="686" t="s">
        <v>580</v>
      </c>
      <c r="BC129" s="686" t="s">
        <v>581</v>
      </c>
      <c r="BD129" s="686" t="s">
        <v>582</v>
      </c>
      <c r="BE129" s="687" t="str">
        <f t="shared" ref="BE129:BG129" si="12">rounddown((#REF!-10)/2,0)+Prof</f>
        <v>#REF!</v>
      </c>
      <c r="BF129" s="687" t="str">
        <f t="shared" si="12"/>
        <v>#REF!</v>
      </c>
      <c r="BG129" s="687" t="str">
        <f t="shared" si="12"/>
        <v>#REF!</v>
      </c>
      <c r="BH129" s="688" t="s">
        <v>570</v>
      </c>
      <c r="BI129" s="682"/>
      <c r="BJ129" s="682"/>
      <c r="BK129" s="682"/>
      <c r="BL129" s="683"/>
      <c r="BM129" s="688" t="s">
        <v>571</v>
      </c>
      <c r="BN129" s="683"/>
      <c r="BO129" s="686" t="str">
        <f t="shared" si="13"/>
        <v>#REF!</v>
      </c>
      <c r="BP129" s="688" t="s">
        <v>572</v>
      </c>
      <c r="BQ129" s="683"/>
      <c r="BR129" s="688" t="s">
        <v>573</v>
      </c>
      <c r="BS129" s="683"/>
      <c r="BT129" s="686" t="str">
        <f t="shared" si="14"/>
        <v>#REF!</v>
      </c>
      <c r="BU129" s="692" t="s">
        <v>583</v>
      </c>
      <c r="BV129" s="683"/>
      <c r="BW129" s="688" t="s">
        <v>584</v>
      </c>
      <c r="BX129" s="682"/>
      <c r="BY129" s="683"/>
    </row>
    <row r="130">
      <c r="A130" s="680">
        <f t="shared" si="15"/>
        <v>3</v>
      </c>
      <c r="B130" s="681" t="s">
        <v>585</v>
      </c>
      <c r="C130" s="682"/>
      <c r="D130" s="682"/>
      <c r="E130" s="682"/>
      <c r="F130" s="683"/>
      <c r="G130" s="681" t="s">
        <v>562</v>
      </c>
      <c r="H130" s="682"/>
      <c r="I130" s="682"/>
      <c r="J130" s="682"/>
      <c r="K130" s="683"/>
      <c r="L130" s="681">
        <v>10.0</v>
      </c>
      <c r="M130" s="682"/>
      <c r="N130" s="682"/>
      <c r="O130" s="682"/>
      <c r="P130" s="683"/>
      <c r="Q130" s="684">
        <v>4.0</v>
      </c>
      <c r="R130" s="684">
        <v>6.0</v>
      </c>
      <c r="S130" s="684">
        <v>9.0</v>
      </c>
      <c r="T130" s="684">
        <v>12.0</v>
      </c>
      <c r="U130" s="684">
        <v>15.0</v>
      </c>
      <c r="V130" s="685">
        <v>16.0</v>
      </c>
      <c r="W130" s="685">
        <v>10.0</v>
      </c>
      <c r="X130" s="685">
        <v>14.0</v>
      </c>
      <c r="Y130" s="685">
        <v>10.0</v>
      </c>
      <c r="Z130" s="685">
        <v>10.0</v>
      </c>
      <c r="AA130" s="685">
        <v>12.0</v>
      </c>
      <c r="AB130" s="689" t="s">
        <v>563</v>
      </c>
      <c r="AC130" s="689" t="s">
        <v>564</v>
      </c>
      <c r="AD130" s="689" t="s">
        <v>564</v>
      </c>
      <c r="AE130" s="689" t="s">
        <v>565</v>
      </c>
      <c r="AF130" s="689" t="s">
        <v>566</v>
      </c>
      <c r="AG130" s="681" t="str">
        <f t="shared" ref="AG130:AG135" si="18">((#REF!-10)/2)</f>
        <v>#REF!</v>
      </c>
      <c r="AH130" s="682"/>
      <c r="AI130" s="682"/>
      <c r="AJ130" s="682"/>
      <c r="AK130" s="683"/>
      <c r="AL130" s="681" t="str">
        <f t="shared" si="10"/>
        <v>#REF!</v>
      </c>
      <c r="AM130" s="682"/>
      <c r="AN130" s="682"/>
      <c r="AO130" s="682"/>
      <c r="AP130" s="683"/>
      <c r="AQ130" s="689" t="s">
        <v>34</v>
      </c>
      <c r="AR130" s="689" t="s">
        <v>65</v>
      </c>
      <c r="AS130" s="689" t="s">
        <v>119</v>
      </c>
      <c r="AT130" s="690" t="str">
        <f t="shared" ref="AT130:AV130" si="16">rounddown((#REF!-10)/2,0)+Prof</f>
        <v>#REF!</v>
      </c>
      <c r="AU130" s="691" t="str">
        <f t="shared" si="16"/>
        <v>#REF!</v>
      </c>
      <c r="AV130" s="691" t="str">
        <f t="shared" si="16"/>
        <v>#REF!</v>
      </c>
      <c r="AW130" s="685">
        <v>30.0</v>
      </c>
      <c r="AX130" s="685">
        <v>30.0</v>
      </c>
      <c r="AY130" s="685">
        <v>40.0</v>
      </c>
      <c r="AZ130" s="685">
        <v>40.0</v>
      </c>
      <c r="BA130" s="685">
        <v>50.0</v>
      </c>
      <c r="BB130" s="686" t="s">
        <v>66</v>
      </c>
      <c r="BC130" s="686" t="s">
        <v>586</v>
      </c>
      <c r="BD130" s="686" t="s">
        <v>568</v>
      </c>
      <c r="BE130" s="687" t="str">
        <f t="shared" ref="BE130:BG130" si="17">rounddown((#REF!-10)/2,0)+Prof</f>
        <v>#REF!</v>
      </c>
      <c r="BF130" s="687" t="str">
        <f t="shared" si="17"/>
        <v>#REF!</v>
      </c>
      <c r="BG130" s="687" t="str">
        <f t="shared" si="17"/>
        <v>#REF!</v>
      </c>
      <c r="BH130" s="688" t="s">
        <v>570</v>
      </c>
      <c r="BI130" s="682"/>
      <c r="BJ130" s="682"/>
      <c r="BK130" s="682"/>
      <c r="BL130" s="683"/>
      <c r="BM130" s="688" t="s">
        <v>587</v>
      </c>
      <c r="BN130" s="683"/>
      <c r="BO130" s="686" t="str">
        <f>"+"&amp;(ROUNDDOWN((#REF!-10)/2,0)&amp;" Piercing Damage")</f>
        <v>#REF!</v>
      </c>
      <c r="BP130" s="688" t="s">
        <v>588</v>
      </c>
      <c r="BQ130" s="683"/>
      <c r="BR130" s="688" t="s">
        <v>589</v>
      </c>
      <c r="BS130" s="683"/>
      <c r="BT130" s="686" t="s">
        <v>155</v>
      </c>
      <c r="BU130" s="688" t="s">
        <v>155</v>
      </c>
      <c r="BV130" s="683"/>
      <c r="BW130" s="688" t="s">
        <v>590</v>
      </c>
      <c r="BX130" s="682"/>
      <c r="BY130" s="683"/>
    </row>
    <row r="131">
      <c r="A131" s="680">
        <f t="shared" si="15"/>
        <v>4</v>
      </c>
      <c r="B131" s="681" t="s">
        <v>591</v>
      </c>
      <c r="C131" s="682"/>
      <c r="D131" s="682"/>
      <c r="E131" s="682"/>
      <c r="F131" s="683"/>
      <c r="G131" s="681" t="s">
        <v>592</v>
      </c>
      <c r="H131" s="682"/>
      <c r="I131" s="682"/>
      <c r="J131" s="682"/>
      <c r="K131" s="683"/>
      <c r="L131" s="681">
        <v>8.0</v>
      </c>
      <c r="M131" s="682"/>
      <c r="N131" s="682"/>
      <c r="O131" s="682"/>
      <c r="P131" s="683"/>
      <c r="Q131" s="685">
        <v>5.0</v>
      </c>
      <c r="R131" s="693">
        <v>7.0</v>
      </c>
      <c r="S131" s="693">
        <v>10.0</v>
      </c>
      <c r="T131" s="693">
        <v>13.0</v>
      </c>
      <c r="U131" s="693">
        <v>16.0</v>
      </c>
      <c r="V131" s="685">
        <v>14.0</v>
      </c>
      <c r="W131" s="685">
        <v>12.0</v>
      </c>
      <c r="X131" s="685">
        <v>10.0</v>
      </c>
      <c r="Y131" s="685">
        <v>10.0</v>
      </c>
      <c r="Z131" s="685">
        <v>16.0</v>
      </c>
      <c r="AA131" s="685">
        <v>10.0</v>
      </c>
      <c r="AB131" s="689" t="s">
        <v>563</v>
      </c>
      <c r="AC131" s="689" t="s">
        <v>564</v>
      </c>
      <c r="AD131" s="689" t="s">
        <v>564</v>
      </c>
      <c r="AE131" s="689" t="s">
        <v>565</v>
      </c>
      <c r="AF131" s="689" t="s">
        <v>565</v>
      </c>
      <c r="AG131" s="681" t="str">
        <f t="shared" si="18"/>
        <v>#REF!</v>
      </c>
      <c r="AH131" s="682"/>
      <c r="AI131" s="682"/>
      <c r="AJ131" s="682"/>
      <c r="AK131" s="683"/>
      <c r="AL131" s="681" t="str">
        <f t="shared" si="10"/>
        <v>#REF!</v>
      </c>
      <c r="AM131" s="682"/>
      <c r="AN131" s="682"/>
      <c r="AO131" s="682"/>
      <c r="AP131" s="683"/>
      <c r="AQ131" s="689" t="s">
        <v>34</v>
      </c>
      <c r="AR131" s="689" t="s">
        <v>52</v>
      </c>
      <c r="AS131" s="689" t="s">
        <v>100</v>
      </c>
      <c r="AT131" s="690" t="str">
        <f t="shared" ref="AT131:AV131" si="19">rounddown((#REF!-10)/2,0)+Prof</f>
        <v>#REF!</v>
      </c>
      <c r="AU131" s="690" t="str">
        <f t="shared" si="19"/>
        <v>#REF!</v>
      </c>
      <c r="AV131" s="690" t="str">
        <f t="shared" si="19"/>
        <v>#REF!</v>
      </c>
      <c r="AW131" s="685">
        <v>40.0</v>
      </c>
      <c r="AX131" s="685">
        <v>40.0</v>
      </c>
      <c r="AY131" s="685">
        <v>60.0</v>
      </c>
      <c r="AZ131" s="685">
        <v>60.0</v>
      </c>
      <c r="BA131" s="685">
        <v>80.0</v>
      </c>
      <c r="BB131" s="686" t="s">
        <v>593</v>
      </c>
      <c r="BC131" s="686" t="s">
        <v>568</v>
      </c>
      <c r="BD131" s="686" t="s">
        <v>569</v>
      </c>
      <c r="BE131" s="687" t="str">
        <f t="shared" ref="BE131:BG131" si="20">rounddown((#REF!-10)/2,0)+Prof</f>
        <v>#REF!</v>
      </c>
      <c r="BF131" s="687" t="str">
        <f t="shared" si="20"/>
        <v>#REF!</v>
      </c>
      <c r="BG131" s="687" t="str">
        <f t="shared" si="20"/>
        <v>#REF!</v>
      </c>
      <c r="BH131" s="688" t="s">
        <v>594</v>
      </c>
      <c r="BI131" s="682"/>
      <c r="BJ131" s="682"/>
      <c r="BK131" s="682"/>
      <c r="BL131" s="683"/>
      <c r="BM131" s="688" t="s">
        <v>595</v>
      </c>
      <c r="BN131" s="683"/>
      <c r="BO131" s="686" t="str">
        <f>"+"&amp;(ROUNDDOWN((#REF!-10)/2,0)&amp;" Bludgeoning Damage")</f>
        <v>#REF!</v>
      </c>
      <c r="BP131" s="688" t="s">
        <v>596</v>
      </c>
      <c r="BQ131" s="683"/>
      <c r="BR131" s="688" t="s">
        <v>597</v>
      </c>
      <c r="BS131" s="683"/>
      <c r="BT131" s="686" t="str">
        <f>"+"&amp;(ROUNDDOWN((#REF!-10)/2,0)&amp;" Bludgeoning Damage")</f>
        <v>#REF!</v>
      </c>
      <c r="BU131" s="688" t="s">
        <v>598</v>
      </c>
      <c r="BV131" s="683"/>
      <c r="BW131" s="688" t="s">
        <v>599</v>
      </c>
      <c r="BX131" s="682"/>
      <c r="BY131" s="683"/>
    </row>
    <row r="132">
      <c r="A132" s="680">
        <f t="shared" si="15"/>
        <v>5</v>
      </c>
      <c r="B132" s="681" t="s">
        <v>600</v>
      </c>
      <c r="C132" s="682"/>
      <c r="D132" s="682"/>
      <c r="E132" s="682"/>
      <c r="F132" s="683"/>
      <c r="G132" s="681" t="s">
        <v>562</v>
      </c>
      <c r="H132" s="682"/>
      <c r="I132" s="682"/>
      <c r="J132" s="682"/>
      <c r="K132" s="683"/>
      <c r="L132" s="681">
        <v>8.0</v>
      </c>
      <c r="M132" s="682"/>
      <c r="N132" s="682"/>
      <c r="O132" s="682"/>
      <c r="P132" s="683"/>
      <c r="Q132" s="685">
        <v>5.0</v>
      </c>
      <c r="R132" s="693">
        <v>7.0</v>
      </c>
      <c r="S132" s="693">
        <v>10.0</v>
      </c>
      <c r="T132" s="693">
        <v>13.0</v>
      </c>
      <c r="U132" s="693">
        <v>16.0</v>
      </c>
      <c r="V132" s="685">
        <v>14.0</v>
      </c>
      <c r="W132" s="685">
        <v>14.0</v>
      </c>
      <c r="X132" s="685">
        <v>14.0</v>
      </c>
      <c r="Y132" s="685">
        <v>10.0</v>
      </c>
      <c r="Z132" s="685">
        <v>12.0</v>
      </c>
      <c r="AA132" s="685">
        <v>10.0</v>
      </c>
      <c r="AB132" s="689" t="s">
        <v>576</v>
      </c>
      <c r="AC132" s="689" t="s">
        <v>601</v>
      </c>
      <c r="AD132" s="689" t="s">
        <v>577</v>
      </c>
      <c r="AE132" s="689" t="s">
        <v>578</v>
      </c>
      <c r="AF132" s="689" t="s">
        <v>579</v>
      </c>
      <c r="AG132" s="681" t="str">
        <f t="shared" si="18"/>
        <v>#REF!</v>
      </c>
      <c r="AH132" s="682"/>
      <c r="AI132" s="682"/>
      <c r="AJ132" s="682"/>
      <c r="AK132" s="683"/>
      <c r="AL132" s="681" t="str">
        <f t="shared" si="10"/>
        <v>#REF!</v>
      </c>
      <c r="AM132" s="682"/>
      <c r="AN132" s="682"/>
      <c r="AO132" s="682"/>
      <c r="AP132" s="683"/>
      <c r="AQ132" s="689" t="s">
        <v>52</v>
      </c>
      <c r="AR132" s="689" t="s">
        <v>80</v>
      </c>
      <c r="AS132" s="689" t="s">
        <v>100</v>
      </c>
      <c r="AT132" s="690" t="str">
        <f t="shared" ref="AT132:AV132" si="21">rounddown((#REF!-10)/2,0)+Prof</f>
        <v>#REF!</v>
      </c>
      <c r="AU132" s="690" t="str">
        <f t="shared" si="21"/>
        <v>#REF!</v>
      </c>
      <c r="AV132" s="690" t="str">
        <f t="shared" si="21"/>
        <v>#REF!</v>
      </c>
      <c r="AW132" s="685">
        <v>30.0</v>
      </c>
      <c r="AX132" s="685">
        <v>45.0</v>
      </c>
      <c r="AY132" s="685">
        <v>50.0</v>
      </c>
      <c r="AZ132" s="685">
        <v>60.0</v>
      </c>
      <c r="BA132" s="685">
        <v>75.0</v>
      </c>
      <c r="BB132" s="686" t="s">
        <v>66</v>
      </c>
      <c r="BC132" s="686" t="s">
        <v>568</v>
      </c>
      <c r="BD132" s="686" t="s">
        <v>602</v>
      </c>
      <c r="BE132" s="687" t="str">
        <f t="shared" ref="BE132:BG132" si="22">rounddown((#REF!-10)/2,0)+Prof</f>
        <v>#REF!</v>
      </c>
      <c r="BF132" s="687" t="str">
        <f t="shared" si="22"/>
        <v>#REF!</v>
      </c>
      <c r="BG132" s="687" t="str">
        <f t="shared" si="22"/>
        <v>#REF!</v>
      </c>
      <c r="BH132" s="688" t="s">
        <v>603</v>
      </c>
      <c r="BI132" s="682"/>
      <c r="BJ132" s="682"/>
      <c r="BK132" s="682"/>
      <c r="BL132" s="683"/>
      <c r="BM132" s="688" t="s">
        <v>573</v>
      </c>
      <c r="BN132" s="683"/>
      <c r="BO132" s="686" t="str">
        <f>"+"&amp;(ROUNDDOWN((#REF!-10)/2,0)&amp;" Piercing Damage")</f>
        <v>#REF!</v>
      </c>
      <c r="BP132" s="688" t="s">
        <v>604</v>
      </c>
      <c r="BQ132" s="683"/>
      <c r="BR132" s="688" t="s">
        <v>155</v>
      </c>
      <c r="BS132" s="683"/>
      <c r="BT132" s="686" t="s">
        <v>155</v>
      </c>
      <c r="BU132" s="688" t="s">
        <v>155</v>
      </c>
      <c r="BV132" s="683"/>
      <c r="BW132" s="688" t="s">
        <v>605</v>
      </c>
      <c r="BX132" s="682"/>
      <c r="BY132" s="683"/>
    </row>
    <row r="133">
      <c r="A133" s="680">
        <f t="shared" si="15"/>
        <v>6</v>
      </c>
      <c r="B133" s="681" t="s">
        <v>606</v>
      </c>
      <c r="C133" s="682"/>
      <c r="D133" s="682"/>
      <c r="E133" s="682"/>
      <c r="F133" s="683"/>
      <c r="G133" s="681" t="s">
        <v>607</v>
      </c>
      <c r="H133" s="682"/>
      <c r="I133" s="682"/>
      <c r="J133" s="682"/>
      <c r="K133" s="683"/>
      <c r="L133" s="681">
        <v>6.0</v>
      </c>
      <c r="M133" s="682"/>
      <c r="N133" s="682"/>
      <c r="O133" s="682"/>
      <c r="P133" s="683"/>
      <c r="Q133" s="685">
        <v>6.0</v>
      </c>
      <c r="R133" s="685">
        <v>8.0</v>
      </c>
      <c r="S133" s="685">
        <v>11.0</v>
      </c>
      <c r="T133" s="685">
        <v>14.0</v>
      </c>
      <c r="U133" s="685">
        <v>17.0</v>
      </c>
      <c r="V133" s="685">
        <v>8.0</v>
      </c>
      <c r="W133" s="685">
        <v>14.0</v>
      </c>
      <c r="X133" s="685">
        <v>10.0</v>
      </c>
      <c r="Y133" s="685">
        <v>16.0</v>
      </c>
      <c r="Z133" s="685">
        <v>13.0</v>
      </c>
      <c r="AA133" s="685">
        <v>11.0</v>
      </c>
      <c r="AB133" s="689" t="s">
        <v>608</v>
      </c>
      <c r="AC133" s="689" t="s">
        <v>609</v>
      </c>
      <c r="AD133" s="689" t="s">
        <v>610</v>
      </c>
      <c r="AE133" s="689" t="s">
        <v>611</v>
      </c>
      <c r="AF133" s="689" t="s">
        <v>612</v>
      </c>
      <c r="AG133" s="681" t="str">
        <f t="shared" si="18"/>
        <v>#REF!</v>
      </c>
      <c r="AH133" s="682"/>
      <c r="AI133" s="682"/>
      <c r="AJ133" s="682"/>
      <c r="AK133" s="683"/>
      <c r="AL133" s="681" t="str">
        <f t="shared" si="10"/>
        <v>#REF!</v>
      </c>
      <c r="AM133" s="682"/>
      <c r="AN133" s="682"/>
      <c r="AO133" s="682"/>
      <c r="AP133" s="683"/>
      <c r="AQ133" s="689" t="s">
        <v>52</v>
      </c>
      <c r="AR133" s="689" t="s">
        <v>80</v>
      </c>
      <c r="AS133" s="689" t="s">
        <v>119</v>
      </c>
      <c r="AT133" s="690" t="str">
        <f t="shared" ref="AT133:AV133" si="23">rounddown((#REF!-10)/2,0)+Prof</f>
        <v>#REF!</v>
      </c>
      <c r="AU133" s="690" t="str">
        <f t="shared" si="23"/>
        <v>#REF!</v>
      </c>
      <c r="AV133" s="690" t="str">
        <f t="shared" si="23"/>
        <v>#REF!</v>
      </c>
      <c r="AW133" s="685">
        <v>40.0</v>
      </c>
      <c r="AX133" s="685">
        <v>40.0</v>
      </c>
      <c r="AY133" s="685">
        <v>60.0</v>
      </c>
      <c r="AZ133" s="685">
        <v>60.0</v>
      </c>
      <c r="BA133" s="685">
        <v>80.0</v>
      </c>
      <c r="BB133" s="686" t="s">
        <v>613</v>
      </c>
      <c r="BC133" s="686" t="s">
        <v>568</v>
      </c>
      <c r="BD133" s="686" t="s">
        <v>582</v>
      </c>
      <c r="BE133" s="687" t="str">
        <f t="shared" ref="BE133:BG133" si="24">rounddown((#REF!-10)/2,0)+Prof</f>
        <v>#REF!</v>
      </c>
      <c r="BF133" s="687" t="str">
        <f t="shared" si="24"/>
        <v>#REF!</v>
      </c>
      <c r="BG133" s="687" t="str">
        <f t="shared" si="24"/>
        <v>#REF!</v>
      </c>
      <c r="BH133" s="688" t="s">
        <v>614</v>
      </c>
      <c r="BI133" s="682"/>
      <c r="BJ133" s="682"/>
      <c r="BK133" s="682"/>
      <c r="BL133" s="683"/>
      <c r="BM133" s="688" t="s">
        <v>615</v>
      </c>
      <c r="BN133" s="683"/>
      <c r="BO133" s="686" t="str">
        <f>"+"&amp;(ROUNDDOWN((#REF!-10)/2,0)&amp;" Bludgeoning Damage")</f>
        <v>#REF!</v>
      </c>
      <c r="BP133" s="688" t="s">
        <v>616</v>
      </c>
      <c r="BQ133" s="683"/>
      <c r="BR133" s="688" t="s">
        <v>155</v>
      </c>
      <c r="BS133" s="683"/>
      <c r="BT133" s="686" t="s">
        <v>155</v>
      </c>
      <c r="BU133" s="688" t="s">
        <v>155</v>
      </c>
      <c r="BV133" s="683"/>
      <c r="BW133" s="688" t="s">
        <v>617</v>
      </c>
      <c r="BX133" s="682"/>
      <c r="BY133" s="683"/>
    </row>
    <row r="134">
      <c r="A134" s="680">
        <f t="shared" si="15"/>
        <v>7</v>
      </c>
      <c r="B134" s="681" t="s">
        <v>618</v>
      </c>
      <c r="C134" s="682"/>
      <c r="D134" s="682"/>
      <c r="E134" s="682"/>
      <c r="F134" s="683"/>
      <c r="G134" s="681" t="s">
        <v>619</v>
      </c>
      <c r="H134" s="682"/>
      <c r="I134" s="682"/>
      <c r="J134" s="682"/>
      <c r="K134" s="683"/>
      <c r="L134" s="681">
        <v>6.0</v>
      </c>
      <c r="M134" s="682"/>
      <c r="N134" s="682"/>
      <c r="O134" s="682"/>
      <c r="P134" s="683"/>
      <c r="Q134" s="685">
        <v>6.0</v>
      </c>
      <c r="R134" s="685">
        <v>8.0</v>
      </c>
      <c r="S134" s="685">
        <v>11.0</v>
      </c>
      <c r="T134" s="685">
        <v>14.0</v>
      </c>
      <c r="U134" s="685">
        <v>17.0</v>
      </c>
      <c r="V134" s="685">
        <v>10.0</v>
      </c>
      <c r="W134" s="685">
        <v>14.0</v>
      </c>
      <c r="X134" s="685">
        <v>12.0</v>
      </c>
      <c r="Y134" s="685">
        <v>10.0</v>
      </c>
      <c r="Z134" s="685">
        <v>16.0</v>
      </c>
      <c r="AA134" s="685">
        <v>10.0</v>
      </c>
      <c r="AB134" s="689" t="s">
        <v>576</v>
      </c>
      <c r="AC134" s="689" t="s">
        <v>601</v>
      </c>
      <c r="AD134" s="689" t="s">
        <v>577</v>
      </c>
      <c r="AE134" s="689" t="s">
        <v>578</v>
      </c>
      <c r="AF134" s="689" t="s">
        <v>579</v>
      </c>
      <c r="AG134" s="681" t="str">
        <f t="shared" si="18"/>
        <v>#REF!</v>
      </c>
      <c r="AH134" s="682"/>
      <c r="AI134" s="682"/>
      <c r="AJ134" s="682"/>
      <c r="AK134" s="683"/>
      <c r="AL134" s="681" t="str">
        <f t="shared" si="10"/>
        <v>#REF!</v>
      </c>
      <c r="AM134" s="682"/>
      <c r="AN134" s="682"/>
      <c r="AO134" s="682"/>
      <c r="AP134" s="683"/>
      <c r="AQ134" s="689" t="s">
        <v>52</v>
      </c>
      <c r="AR134" s="689" t="s">
        <v>80</v>
      </c>
      <c r="AS134" s="689" t="s">
        <v>100</v>
      </c>
      <c r="AT134" s="690" t="str">
        <f>rounddown(($P$11-10)/2,0)+Prof</f>
        <v>#REF!</v>
      </c>
      <c r="AU134" s="690" t="str">
        <f t="shared" ref="AU134:AU135" si="26">rounddown(($P$17-10)/2,0)+Prof</f>
        <v>#REF!</v>
      </c>
      <c r="AV134" s="690" t="str">
        <f t="shared" ref="AV134:AV136" si="27">rounddown(($P$20-10)/2,0)+Prof</f>
        <v>#REF!</v>
      </c>
      <c r="AW134" s="685">
        <v>30.0</v>
      </c>
      <c r="AX134" s="685">
        <v>40.0</v>
      </c>
      <c r="AY134" s="685">
        <v>60.0</v>
      </c>
      <c r="AZ134" s="685">
        <v>60.0</v>
      </c>
      <c r="BA134" s="685">
        <v>90.0</v>
      </c>
      <c r="BB134" s="686" t="s">
        <v>613</v>
      </c>
      <c r="BC134" s="686" t="s">
        <v>602</v>
      </c>
      <c r="BD134" s="686" t="s">
        <v>568</v>
      </c>
      <c r="BE134" s="690" t="str">
        <f t="shared" ref="BE134:BE135" si="28">rounddown(($P$11-10)/2,0)+Prof</f>
        <v>#REF!</v>
      </c>
      <c r="BF134" s="690" t="str">
        <f t="shared" ref="BF134:BG134" si="25">rounddown(($P$20-10)/2,0)+Prof</f>
        <v>#REF!</v>
      </c>
      <c r="BG134" s="690" t="str">
        <f t="shared" si="25"/>
        <v>#REF!</v>
      </c>
      <c r="BH134" s="688" t="s">
        <v>620</v>
      </c>
      <c r="BI134" s="682"/>
      <c r="BJ134" s="682"/>
      <c r="BK134" s="682"/>
      <c r="BL134" s="683"/>
      <c r="BM134" s="688" t="s">
        <v>571</v>
      </c>
      <c r="BN134" s="683"/>
      <c r="BO134" s="686" t="str">
        <f t="shared" ref="BO134:BO135" si="29">"+"&amp;(ROUNDDOWN((#REF!-10)/2,0)&amp;" Piercing Damage")</f>
        <v>#REF!</v>
      </c>
      <c r="BP134" s="688" t="s">
        <v>621</v>
      </c>
      <c r="BQ134" s="683"/>
      <c r="BR134" s="688" t="s">
        <v>155</v>
      </c>
      <c r="BS134" s="683"/>
      <c r="BT134" s="686" t="s">
        <v>155</v>
      </c>
      <c r="BU134" s="688" t="s">
        <v>155</v>
      </c>
      <c r="BV134" s="683"/>
      <c r="BW134" s="688" t="s">
        <v>622</v>
      </c>
      <c r="BX134" s="682"/>
      <c r="BY134" s="683"/>
    </row>
    <row r="135">
      <c r="A135" s="680">
        <f t="shared" si="15"/>
        <v>8</v>
      </c>
      <c r="B135" s="681" t="s">
        <v>623</v>
      </c>
      <c r="C135" s="682"/>
      <c r="D135" s="682"/>
      <c r="E135" s="682"/>
      <c r="F135" s="683"/>
      <c r="G135" s="681" t="s">
        <v>624</v>
      </c>
      <c r="H135" s="682"/>
      <c r="I135" s="682"/>
      <c r="J135" s="682"/>
      <c r="K135" s="683"/>
      <c r="L135" s="681">
        <v>6.0</v>
      </c>
      <c r="M135" s="682"/>
      <c r="N135" s="682"/>
      <c r="O135" s="682"/>
      <c r="P135" s="683"/>
      <c r="Q135" s="685">
        <v>6.0</v>
      </c>
      <c r="R135" s="685">
        <v>8.0</v>
      </c>
      <c r="S135" s="685">
        <v>11.0</v>
      </c>
      <c r="T135" s="685">
        <v>14.0</v>
      </c>
      <c r="U135" s="685">
        <v>17.0</v>
      </c>
      <c r="V135" s="685">
        <v>8.0</v>
      </c>
      <c r="W135" s="685">
        <v>13.0</v>
      </c>
      <c r="X135" s="685">
        <v>11.0</v>
      </c>
      <c r="Y135" s="685">
        <v>16.0</v>
      </c>
      <c r="Z135" s="685">
        <v>14.0</v>
      </c>
      <c r="AA135" s="685">
        <v>10.0</v>
      </c>
      <c r="AB135" s="689" t="s">
        <v>576</v>
      </c>
      <c r="AC135" s="689" t="s">
        <v>601</v>
      </c>
      <c r="AD135" s="689" t="s">
        <v>577</v>
      </c>
      <c r="AE135" s="689" t="s">
        <v>578</v>
      </c>
      <c r="AF135" s="689" t="s">
        <v>579</v>
      </c>
      <c r="AG135" s="681" t="str">
        <f t="shared" si="18"/>
        <v>#REF!</v>
      </c>
      <c r="AH135" s="682"/>
      <c r="AI135" s="682"/>
      <c r="AJ135" s="682"/>
      <c r="AK135" s="683"/>
      <c r="AL135" s="681" t="str">
        <f t="shared" si="10"/>
        <v>#REF!</v>
      </c>
      <c r="AM135" s="682"/>
      <c r="AN135" s="682"/>
      <c r="AO135" s="682"/>
      <c r="AP135" s="683"/>
      <c r="AQ135" s="689" t="s">
        <v>65</v>
      </c>
      <c r="AR135" s="689" t="s">
        <v>80</v>
      </c>
      <c r="AS135" s="689" t="s">
        <v>100</v>
      </c>
      <c r="AT135" s="690" t="str">
        <f>rounddown(($P$14-10)/2,0)+Prof</f>
        <v>#REF!</v>
      </c>
      <c r="AU135" s="690" t="str">
        <f t="shared" si="26"/>
        <v>#REF!</v>
      </c>
      <c r="AV135" s="690" t="str">
        <f t="shared" si="27"/>
        <v>#REF!</v>
      </c>
      <c r="AW135" s="685">
        <v>30.0</v>
      </c>
      <c r="AX135" s="685">
        <v>40.0</v>
      </c>
      <c r="AY135" s="685">
        <v>60.0</v>
      </c>
      <c r="AZ135" s="685">
        <v>60.0</v>
      </c>
      <c r="BA135" s="685">
        <v>90.0</v>
      </c>
      <c r="BB135" s="686" t="s">
        <v>613</v>
      </c>
      <c r="BC135" s="686" t="s">
        <v>582</v>
      </c>
      <c r="BD135" s="686" t="s">
        <v>568</v>
      </c>
      <c r="BE135" s="690" t="str">
        <f t="shared" si="28"/>
        <v>#REF!</v>
      </c>
      <c r="BF135" s="690" t="str">
        <f t="shared" ref="BF135:BF137" si="30">rounddown(($P$11-10)/2,0)+Prof</f>
        <v>#REF!</v>
      </c>
      <c r="BG135" s="690" t="str">
        <f>rounddown(($P$20-10)/2,0)+Prof</f>
        <v>#REF!</v>
      </c>
      <c r="BH135" s="688" t="s">
        <v>625</v>
      </c>
      <c r="BI135" s="682"/>
      <c r="BJ135" s="682"/>
      <c r="BK135" s="682"/>
      <c r="BL135" s="683"/>
      <c r="BM135" s="688" t="s">
        <v>626</v>
      </c>
      <c r="BN135" s="683"/>
      <c r="BO135" s="686" t="str">
        <f t="shared" si="29"/>
        <v>#REF!</v>
      </c>
      <c r="BP135" s="688" t="s">
        <v>621</v>
      </c>
      <c r="BQ135" s="683"/>
      <c r="BR135" s="688" t="s">
        <v>155</v>
      </c>
      <c r="BS135" s="683"/>
      <c r="BT135" s="686" t="s">
        <v>155</v>
      </c>
      <c r="BU135" s="688" t="s">
        <v>155</v>
      </c>
      <c r="BV135" s="683"/>
      <c r="BW135" s="688" t="s">
        <v>627</v>
      </c>
      <c r="BX135" s="682"/>
      <c r="BY135" s="683"/>
    </row>
    <row r="136">
      <c r="A136" s="680">
        <f t="shared" si="15"/>
        <v>9</v>
      </c>
      <c r="B136" s="681" t="s">
        <v>628</v>
      </c>
      <c r="C136" s="682"/>
      <c r="D136" s="682"/>
      <c r="E136" s="682"/>
      <c r="F136" s="683"/>
      <c r="G136" s="681" t="s">
        <v>629</v>
      </c>
      <c r="H136" s="682"/>
      <c r="I136" s="682"/>
      <c r="J136" s="682"/>
      <c r="K136" s="683"/>
      <c r="L136" s="681">
        <v>8.0</v>
      </c>
      <c r="M136" s="682"/>
      <c r="N136" s="682"/>
      <c r="O136" s="682"/>
      <c r="P136" s="683"/>
      <c r="Q136" s="685">
        <v>5.0</v>
      </c>
      <c r="R136" s="693">
        <v>7.0</v>
      </c>
      <c r="S136" s="693">
        <v>10.0</v>
      </c>
      <c r="T136" s="693">
        <v>13.0</v>
      </c>
      <c r="U136" s="693">
        <v>16.0</v>
      </c>
      <c r="V136" s="685">
        <v>16.0</v>
      </c>
      <c r="W136" s="685">
        <v>12.0</v>
      </c>
      <c r="X136" s="685">
        <v>12.0</v>
      </c>
      <c r="Y136" s="685">
        <v>10.0</v>
      </c>
      <c r="Z136" s="685">
        <v>14.0</v>
      </c>
      <c r="AA136" s="685">
        <v>8.0</v>
      </c>
      <c r="AB136" s="689" t="s">
        <v>576</v>
      </c>
      <c r="AC136" s="689" t="s">
        <v>601</v>
      </c>
      <c r="AD136" s="689" t="s">
        <v>577</v>
      </c>
      <c r="AE136" s="689" t="s">
        <v>578</v>
      </c>
      <c r="AF136" s="689" t="s">
        <v>579</v>
      </c>
      <c r="AG136" s="681">
        <f>(($P$20-10)/2)</f>
        <v>-5</v>
      </c>
      <c r="AH136" s="682"/>
      <c r="AI136" s="682"/>
      <c r="AJ136" s="682"/>
      <c r="AK136" s="683"/>
      <c r="AL136" s="681">
        <f>(($P$8-10)/2)</f>
        <v>-5</v>
      </c>
      <c r="AM136" s="682"/>
      <c r="AN136" s="682"/>
      <c r="AO136" s="682"/>
      <c r="AP136" s="683"/>
      <c r="AQ136" s="689" t="s">
        <v>34</v>
      </c>
      <c r="AR136" s="689" t="s">
        <v>65</v>
      </c>
      <c r="AS136" s="689" t="s">
        <v>100</v>
      </c>
      <c r="AT136" s="687" t="str">
        <f t="shared" ref="AT136:AT138" si="31">rounddown(($P$8-10)/2,0)+Prof</f>
        <v>#REF!</v>
      </c>
      <c r="AU136" s="690" t="str">
        <f>rounddown(($P$14-10)/2,0)+Prof</f>
        <v>#REF!</v>
      </c>
      <c r="AV136" s="690" t="str">
        <f t="shared" si="27"/>
        <v>#REF!</v>
      </c>
      <c r="AW136" s="685">
        <v>30.0</v>
      </c>
      <c r="AX136" s="685">
        <v>40.0</v>
      </c>
      <c r="AY136" s="685">
        <v>50.0</v>
      </c>
      <c r="AZ136" s="685">
        <v>60.0</v>
      </c>
      <c r="BA136" s="685">
        <v>60.0</v>
      </c>
      <c r="BB136" s="686" t="s">
        <v>66</v>
      </c>
      <c r="BC136" s="686" t="s">
        <v>613</v>
      </c>
      <c r="BD136" s="686" t="s">
        <v>582</v>
      </c>
      <c r="BE136" s="687" t="str">
        <f t="shared" ref="BE136:BE138" si="32">rounddown(($P$8-10)/2,0)+Prof</f>
        <v>#REF!</v>
      </c>
      <c r="BF136" s="690" t="str">
        <f t="shared" si="30"/>
        <v>#REF!</v>
      </c>
      <c r="BG136" s="690" t="str">
        <f>rounddown(($P$11-10)/2,0)+Prof</f>
        <v>#REF!</v>
      </c>
      <c r="BH136" s="688" t="s">
        <v>630</v>
      </c>
      <c r="BI136" s="682"/>
      <c r="BJ136" s="682"/>
      <c r="BK136" s="682"/>
      <c r="BL136" s="683"/>
      <c r="BM136" s="688" t="s">
        <v>631</v>
      </c>
      <c r="BN136" s="683"/>
      <c r="BO136" s="686" t="str">
        <f>"+"&amp;(ROUNDDOWN((#REF!-10)/2,0)&amp;" Bludgeoning Damage")</f>
        <v>#REF!</v>
      </c>
      <c r="BP136" s="688" t="s">
        <v>632</v>
      </c>
      <c r="BQ136" s="683"/>
      <c r="BR136" s="688" t="s">
        <v>633</v>
      </c>
      <c r="BS136" s="683"/>
      <c r="BT136" s="686" t="s">
        <v>155</v>
      </c>
      <c r="BU136" s="688" t="s">
        <v>634</v>
      </c>
      <c r="BV136" s="683"/>
      <c r="BW136" s="688" t="s">
        <v>635</v>
      </c>
      <c r="BX136" s="682"/>
      <c r="BY136" s="683"/>
    </row>
    <row r="137">
      <c r="A137" s="680">
        <f t="shared" si="15"/>
        <v>10</v>
      </c>
      <c r="B137" s="681" t="s">
        <v>636</v>
      </c>
      <c r="C137" s="682"/>
      <c r="D137" s="682"/>
      <c r="E137" s="682"/>
      <c r="F137" s="683"/>
      <c r="G137" s="681" t="s">
        <v>637</v>
      </c>
      <c r="H137" s="682"/>
      <c r="I137" s="682"/>
      <c r="J137" s="682"/>
      <c r="K137" s="683"/>
      <c r="L137" s="681">
        <v>10.0</v>
      </c>
      <c r="M137" s="682"/>
      <c r="N137" s="682"/>
      <c r="O137" s="682"/>
      <c r="P137" s="683"/>
      <c r="Q137" s="685">
        <v>4.0</v>
      </c>
      <c r="R137" s="685">
        <v>6.0</v>
      </c>
      <c r="S137" s="685">
        <v>9.0</v>
      </c>
      <c r="T137" s="685">
        <v>12.0</v>
      </c>
      <c r="U137" s="685">
        <v>15.0</v>
      </c>
      <c r="V137" s="685">
        <v>16.0</v>
      </c>
      <c r="W137" s="685">
        <v>14.0</v>
      </c>
      <c r="X137" s="685">
        <v>12.0</v>
      </c>
      <c r="Y137" s="685">
        <v>10.0</v>
      </c>
      <c r="Z137" s="685">
        <v>10.0</v>
      </c>
      <c r="AA137" s="685">
        <v>10.0</v>
      </c>
      <c r="AB137" s="689" t="s">
        <v>563</v>
      </c>
      <c r="AC137" s="689" t="s">
        <v>563</v>
      </c>
      <c r="AD137" s="689" t="s">
        <v>564</v>
      </c>
      <c r="AE137" s="689" t="s">
        <v>564</v>
      </c>
      <c r="AF137" s="689" t="s">
        <v>565</v>
      </c>
      <c r="AG137" s="681" t="str">
        <f t="shared" ref="AG137:AG139" si="33">((#REF!-10)/2)</f>
        <v>#REF!</v>
      </c>
      <c r="AH137" s="682"/>
      <c r="AI137" s="682"/>
      <c r="AJ137" s="682"/>
      <c r="AK137" s="683"/>
      <c r="AL137" s="681" t="str">
        <f t="shared" ref="AL137:AL151" si="34">((#REF!-10)/2)</f>
        <v>#REF!</v>
      </c>
      <c r="AM137" s="682"/>
      <c r="AN137" s="682"/>
      <c r="AO137" s="682"/>
      <c r="AP137" s="683"/>
      <c r="AQ137" s="689" t="s">
        <v>34</v>
      </c>
      <c r="AR137" s="689" t="s">
        <v>52</v>
      </c>
      <c r="AS137" s="689" t="s">
        <v>65</v>
      </c>
      <c r="AT137" s="687" t="str">
        <f t="shared" si="31"/>
        <v>#REF!</v>
      </c>
      <c r="AU137" s="690" t="str">
        <f>rounddown(($P$11-10)/2,0)+Prof</f>
        <v>#REF!</v>
      </c>
      <c r="AV137" s="690" t="str">
        <f>rounddown(($P$14-10)/2,0)+Prof</f>
        <v>#REF!</v>
      </c>
      <c r="AW137" s="685">
        <v>30.0</v>
      </c>
      <c r="AX137" s="685">
        <v>40.0</v>
      </c>
      <c r="AY137" s="685">
        <v>40.0</v>
      </c>
      <c r="AZ137" s="685">
        <v>50.0</v>
      </c>
      <c r="BA137" s="685">
        <v>50.0</v>
      </c>
      <c r="BB137" s="686" t="s">
        <v>66</v>
      </c>
      <c r="BC137" s="686" t="s">
        <v>613</v>
      </c>
      <c r="BD137" s="686" t="s">
        <v>568</v>
      </c>
      <c r="BE137" s="687" t="str">
        <f t="shared" si="32"/>
        <v>#REF!</v>
      </c>
      <c r="BF137" s="690" t="str">
        <f t="shared" si="30"/>
        <v>#REF!</v>
      </c>
      <c r="BG137" s="690" t="str">
        <f>rounddown(($P$20-10)/2,0)+Prof</f>
        <v>#REF!</v>
      </c>
      <c r="BH137" s="688" t="s">
        <v>638</v>
      </c>
      <c r="BI137" s="682"/>
      <c r="BJ137" s="682"/>
      <c r="BK137" s="682"/>
      <c r="BL137" s="683"/>
      <c r="BM137" s="688" t="s">
        <v>571</v>
      </c>
      <c r="BN137" s="683"/>
      <c r="BO137" s="686" t="str">
        <f>"+"&amp;(ROUNDDOWN((#REF!-10)/2,0)&amp;" Slashing Damage")</f>
        <v>#REF!</v>
      </c>
      <c r="BP137" s="688" t="s">
        <v>639</v>
      </c>
      <c r="BQ137" s="683"/>
      <c r="BR137" s="688" t="s">
        <v>640</v>
      </c>
      <c r="BS137" s="683"/>
      <c r="BT137" s="686" t="str">
        <f>"+"&amp;(ROUNDDOWN((#REF!-10)/2,0)&amp;" (Weapon) Damage")</f>
        <v>#REF!</v>
      </c>
      <c r="BU137" s="688" t="s">
        <v>641</v>
      </c>
      <c r="BV137" s="683"/>
      <c r="BW137" s="688" t="s">
        <v>642</v>
      </c>
      <c r="BX137" s="682"/>
      <c r="BY137" s="683"/>
    </row>
    <row r="138">
      <c r="A138" s="680">
        <f t="shared" si="15"/>
        <v>11</v>
      </c>
      <c r="B138" s="681" t="s">
        <v>643</v>
      </c>
      <c r="C138" s="682"/>
      <c r="D138" s="682"/>
      <c r="E138" s="682"/>
      <c r="F138" s="683"/>
      <c r="G138" s="681" t="s">
        <v>592</v>
      </c>
      <c r="H138" s="682"/>
      <c r="I138" s="682"/>
      <c r="J138" s="682"/>
      <c r="K138" s="683"/>
      <c r="L138" s="681">
        <v>10.0</v>
      </c>
      <c r="M138" s="682"/>
      <c r="N138" s="682"/>
      <c r="O138" s="682"/>
      <c r="P138" s="683"/>
      <c r="Q138" s="685">
        <v>4.0</v>
      </c>
      <c r="R138" s="685">
        <v>6.0</v>
      </c>
      <c r="S138" s="685">
        <v>9.0</v>
      </c>
      <c r="T138" s="685">
        <v>12.0</v>
      </c>
      <c r="U138" s="685">
        <v>15.0</v>
      </c>
      <c r="V138" s="685">
        <v>16.0</v>
      </c>
      <c r="W138" s="685">
        <v>10.0</v>
      </c>
      <c r="X138" s="685">
        <v>14.0</v>
      </c>
      <c r="Y138" s="685">
        <v>10.0</v>
      </c>
      <c r="Z138" s="685">
        <v>12.0</v>
      </c>
      <c r="AA138" s="685">
        <v>10.0</v>
      </c>
      <c r="AB138" s="689" t="s">
        <v>644</v>
      </c>
      <c r="AC138" s="689" t="s">
        <v>644</v>
      </c>
      <c r="AD138" s="689" t="s">
        <v>645</v>
      </c>
      <c r="AE138" s="689" t="s">
        <v>645</v>
      </c>
      <c r="AF138" s="689" t="s">
        <v>646</v>
      </c>
      <c r="AG138" s="681" t="str">
        <f t="shared" si="33"/>
        <v>#REF!</v>
      </c>
      <c r="AH138" s="682"/>
      <c r="AI138" s="682"/>
      <c r="AJ138" s="682"/>
      <c r="AK138" s="683"/>
      <c r="AL138" s="681" t="str">
        <f t="shared" si="34"/>
        <v>#REF!</v>
      </c>
      <c r="AM138" s="682"/>
      <c r="AN138" s="682"/>
      <c r="AO138" s="682"/>
      <c r="AP138" s="683"/>
      <c r="AQ138" s="689" t="s">
        <v>34</v>
      </c>
      <c r="AR138" s="689" t="s">
        <v>65</v>
      </c>
      <c r="AS138" s="689" t="s">
        <v>100</v>
      </c>
      <c r="AT138" s="687" t="str">
        <f t="shared" si="31"/>
        <v>#REF!</v>
      </c>
      <c r="AU138" s="690" t="str">
        <f>rounddown(($P$14-10)/2,0)+Prof</f>
        <v>#REF!</v>
      </c>
      <c r="AV138" s="690" t="str">
        <f t="shared" ref="AV138:AV139" si="35">rounddown(($P$20-10)/2,0)+Prof</f>
        <v>#REF!</v>
      </c>
      <c r="AW138" s="685">
        <v>40.0</v>
      </c>
      <c r="AX138" s="685">
        <v>50.0</v>
      </c>
      <c r="AY138" s="685">
        <v>50.0</v>
      </c>
      <c r="AZ138" s="685">
        <v>60.0</v>
      </c>
      <c r="BA138" s="685">
        <v>70.0</v>
      </c>
      <c r="BB138" s="686" t="s">
        <v>66</v>
      </c>
      <c r="BC138" s="686" t="s">
        <v>569</v>
      </c>
      <c r="BD138" s="686" t="s">
        <v>586</v>
      </c>
      <c r="BE138" s="687" t="str">
        <f t="shared" si="32"/>
        <v>#REF!</v>
      </c>
      <c r="BF138" s="690" t="str">
        <f>rounddown(($P$20-10)/2,0)+Prof</f>
        <v>#REF!</v>
      </c>
      <c r="BG138" s="690" t="str">
        <f>rounddown(($P$23-10)/2,0)+Prof</f>
        <v>#REF!</v>
      </c>
      <c r="BH138" s="688" t="s">
        <v>594</v>
      </c>
      <c r="BI138" s="682"/>
      <c r="BJ138" s="682"/>
      <c r="BK138" s="682"/>
      <c r="BL138" s="683"/>
      <c r="BM138" s="688" t="s">
        <v>647</v>
      </c>
      <c r="BN138" s="683"/>
      <c r="BO138" s="686" t="str">
        <f t="shared" ref="BO138:BO140" si="37">"+"&amp;(ROUNDDOWN((#REF!-10)/2,0)&amp;" Piercing Damage")</f>
        <v>#REF!</v>
      </c>
      <c r="BP138" s="688" t="s">
        <v>588</v>
      </c>
      <c r="BQ138" s="683"/>
      <c r="BR138" s="688" t="s">
        <v>155</v>
      </c>
      <c r="BS138" s="683"/>
      <c r="BT138" s="686" t="s">
        <v>155</v>
      </c>
      <c r="BU138" s="688" t="s">
        <v>155</v>
      </c>
      <c r="BV138" s="683"/>
      <c r="BW138" s="688" t="s">
        <v>648</v>
      </c>
      <c r="BX138" s="682"/>
      <c r="BY138" s="683"/>
    </row>
    <row r="139">
      <c r="A139" s="680">
        <f t="shared" si="15"/>
        <v>12</v>
      </c>
      <c r="B139" s="681" t="s">
        <v>649</v>
      </c>
      <c r="C139" s="682"/>
      <c r="D139" s="682"/>
      <c r="E139" s="682"/>
      <c r="F139" s="683"/>
      <c r="G139" s="681" t="s">
        <v>607</v>
      </c>
      <c r="H139" s="682"/>
      <c r="I139" s="682"/>
      <c r="J139" s="682"/>
      <c r="K139" s="683"/>
      <c r="L139" s="681">
        <v>6.0</v>
      </c>
      <c r="M139" s="682"/>
      <c r="N139" s="682"/>
      <c r="O139" s="682"/>
      <c r="P139" s="683"/>
      <c r="Q139" s="685">
        <v>6.0</v>
      </c>
      <c r="R139" s="685">
        <v>8.0</v>
      </c>
      <c r="S139" s="685">
        <v>11.0</v>
      </c>
      <c r="T139" s="685">
        <v>14.0</v>
      </c>
      <c r="U139" s="685">
        <v>17.0</v>
      </c>
      <c r="V139" s="685">
        <v>8.0</v>
      </c>
      <c r="W139" s="685">
        <v>16.0</v>
      </c>
      <c r="X139" s="685">
        <v>10.0</v>
      </c>
      <c r="Y139" s="685">
        <v>14.0</v>
      </c>
      <c r="Z139" s="685">
        <v>13.0</v>
      </c>
      <c r="AA139" s="685">
        <v>11.0</v>
      </c>
      <c r="AB139" s="689" t="s">
        <v>576</v>
      </c>
      <c r="AC139" s="689" t="s">
        <v>601</v>
      </c>
      <c r="AD139" s="689" t="s">
        <v>601</v>
      </c>
      <c r="AE139" s="689" t="s">
        <v>577</v>
      </c>
      <c r="AF139" s="689" t="s">
        <v>578</v>
      </c>
      <c r="AG139" s="681" t="str">
        <f t="shared" si="33"/>
        <v>#REF!</v>
      </c>
      <c r="AH139" s="682"/>
      <c r="AI139" s="682"/>
      <c r="AJ139" s="682"/>
      <c r="AK139" s="683"/>
      <c r="AL139" s="681" t="str">
        <f t="shared" si="34"/>
        <v>#REF!</v>
      </c>
      <c r="AM139" s="682"/>
      <c r="AN139" s="682"/>
      <c r="AO139" s="682"/>
      <c r="AP139" s="683"/>
      <c r="AQ139" s="689" t="s">
        <v>52</v>
      </c>
      <c r="AR139" s="689" t="s">
        <v>80</v>
      </c>
      <c r="AS139" s="689" t="s">
        <v>100</v>
      </c>
      <c r="AT139" s="690" t="str">
        <f t="shared" ref="AT139:AT140" si="38">rounddown(($P$11-10)/2,0)+Prof</f>
        <v>#REF!</v>
      </c>
      <c r="AU139" s="690" t="str">
        <f>rounddown(($P$17-10)/2,0)+Prof</f>
        <v>#REF!</v>
      </c>
      <c r="AV139" s="690" t="str">
        <f t="shared" si="35"/>
        <v>#REF!</v>
      </c>
      <c r="AW139" s="685">
        <v>45.0</v>
      </c>
      <c r="AX139" s="685">
        <v>45.0</v>
      </c>
      <c r="AY139" s="685">
        <v>60.0</v>
      </c>
      <c r="AZ139" s="685">
        <v>60.0</v>
      </c>
      <c r="BA139" s="685">
        <v>75.0</v>
      </c>
      <c r="BB139" s="686" t="s">
        <v>613</v>
      </c>
      <c r="BC139" s="686" t="s">
        <v>582</v>
      </c>
      <c r="BD139" s="686" t="s">
        <v>650</v>
      </c>
      <c r="BE139" s="690" t="str">
        <f t="shared" ref="BE139:BG139" si="36">rounddown(($P$11-10)/2,0)+Prof</f>
        <v>#REF!</v>
      </c>
      <c r="BF139" s="690" t="str">
        <f t="shared" si="36"/>
        <v>#REF!</v>
      </c>
      <c r="BG139" s="690" t="str">
        <f t="shared" si="36"/>
        <v>#REF!</v>
      </c>
      <c r="BH139" s="688" t="s">
        <v>651</v>
      </c>
      <c r="BI139" s="682"/>
      <c r="BJ139" s="682"/>
      <c r="BK139" s="682"/>
      <c r="BL139" s="683"/>
      <c r="BM139" s="688" t="s">
        <v>573</v>
      </c>
      <c r="BN139" s="683"/>
      <c r="BO139" s="686" t="str">
        <f t="shared" si="37"/>
        <v>#REF!</v>
      </c>
      <c r="BP139" s="688" t="s">
        <v>621</v>
      </c>
      <c r="BQ139" s="683"/>
      <c r="BR139" s="688" t="s">
        <v>155</v>
      </c>
      <c r="BS139" s="683"/>
      <c r="BT139" s="686" t="s">
        <v>155</v>
      </c>
      <c r="BU139" s="688" t="s">
        <v>155</v>
      </c>
      <c r="BV139" s="683"/>
      <c r="BW139" s="688" t="s">
        <v>652</v>
      </c>
      <c r="BX139" s="682"/>
      <c r="BY139" s="683"/>
    </row>
    <row r="140">
      <c r="A140" s="680">
        <f t="shared" si="15"/>
        <v>13</v>
      </c>
      <c r="B140" s="681" t="s">
        <v>653</v>
      </c>
      <c r="C140" s="682"/>
      <c r="D140" s="682"/>
      <c r="E140" s="682"/>
      <c r="F140" s="683"/>
      <c r="G140" s="681" t="s">
        <v>654</v>
      </c>
      <c r="H140" s="682"/>
      <c r="I140" s="682"/>
      <c r="J140" s="682"/>
      <c r="K140" s="683"/>
      <c r="L140" s="681">
        <v>12.0</v>
      </c>
      <c r="M140" s="682"/>
      <c r="N140" s="682"/>
      <c r="O140" s="682"/>
      <c r="P140" s="683"/>
      <c r="Q140" s="685">
        <v>4.0</v>
      </c>
      <c r="R140" s="685">
        <v>6.0</v>
      </c>
      <c r="S140" s="685">
        <v>9.0</v>
      </c>
      <c r="T140" s="685">
        <v>12.0</v>
      </c>
      <c r="U140" s="685">
        <v>15.0</v>
      </c>
      <c r="V140" s="685">
        <v>16.0</v>
      </c>
      <c r="W140" s="685">
        <v>10.0</v>
      </c>
      <c r="X140" s="685">
        <v>12.0</v>
      </c>
      <c r="Y140" s="685">
        <v>10.0</v>
      </c>
      <c r="Z140" s="685">
        <v>10.0</v>
      </c>
      <c r="AA140" s="685">
        <v>14.0</v>
      </c>
      <c r="AB140" s="689" t="s">
        <v>563</v>
      </c>
      <c r="AC140" s="689" t="s">
        <v>563</v>
      </c>
      <c r="AD140" s="689" t="s">
        <v>564</v>
      </c>
      <c r="AE140" s="689" t="s">
        <v>565</v>
      </c>
      <c r="AF140" s="689" t="s">
        <v>566</v>
      </c>
      <c r="AG140" s="681" t="str">
        <f>ROUNDDOWN(((#REF!-10)/2),0)</f>
        <v>#REF!</v>
      </c>
      <c r="AH140" s="682"/>
      <c r="AI140" s="682"/>
      <c r="AJ140" s="682"/>
      <c r="AK140" s="683"/>
      <c r="AL140" s="681" t="str">
        <f t="shared" si="34"/>
        <v>#REF!</v>
      </c>
      <c r="AM140" s="682"/>
      <c r="AN140" s="682"/>
      <c r="AO140" s="682"/>
      <c r="AP140" s="683"/>
      <c r="AQ140" s="689" t="s">
        <v>52</v>
      </c>
      <c r="AR140" s="689" t="s">
        <v>65</v>
      </c>
      <c r="AS140" s="689" t="s">
        <v>119</v>
      </c>
      <c r="AT140" s="690" t="str">
        <f t="shared" si="38"/>
        <v>#REF!</v>
      </c>
      <c r="AU140" s="690" t="str">
        <f>rounddown(($P$14-10)/2,0)+Prof</f>
        <v>#REF!</v>
      </c>
      <c r="AV140" s="690" t="str">
        <f>rounddown(($P$23-10)/2,0)+Prof</f>
        <v>#REF!</v>
      </c>
      <c r="AW140" s="685">
        <v>40.0</v>
      </c>
      <c r="AX140" s="685">
        <v>50.0</v>
      </c>
      <c r="AY140" s="685">
        <v>60.0</v>
      </c>
      <c r="AZ140" s="685">
        <v>70.0</v>
      </c>
      <c r="BA140" s="685">
        <v>80.0</v>
      </c>
      <c r="BB140" s="686" t="s">
        <v>66</v>
      </c>
      <c r="BC140" s="686" t="s">
        <v>582</v>
      </c>
      <c r="BD140" s="686" t="s">
        <v>568</v>
      </c>
      <c r="BE140" s="687" t="str">
        <f>rounddown(($P$8-10)/2,0)+Prof</f>
        <v>#REF!</v>
      </c>
      <c r="BF140" s="690" t="str">
        <f>rounddown(($P$11-10)/2,0)+Prof</f>
        <v>#REF!</v>
      </c>
      <c r="BG140" s="690" t="str">
        <f>rounddown(($P$20-10)/2,0)+Prof</f>
        <v>#REF!</v>
      </c>
      <c r="BH140" s="688" t="s">
        <v>655</v>
      </c>
      <c r="BI140" s="682"/>
      <c r="BJ140" s="682"/>
      <c r="BK140" s="682"/>
      <c r="BL140" s="683"/>
      <c r="BM140" s="688" t="s">
        <v>573</v>
      </c>
      <c r="BN140" s="683"/>
      <c r="BO140" s="686" t="str">
        <f t="shared" si="37"/>
        <v>#REF!</v>
      </c>
      <c r="BP140" s="688" t="s">
        <v>656</v>
      </c>
      <c r="BQ140" s="683"/>
      <c r="BR140" s="688" t="s">
        <v>155</v>
      </c>
      <c r="BS140" s="683"/>
      <c r="BT140" s="686" t="s">
        <v>155</v>
      </c>
      <c r="BU140" s="688" t="s">
        <v>155</v>
      </c>
      <c r="BV140" s="683"/>
      <c r="BW140" s="688" t="s">
        <v>657</v>
      </c>
      <c r="BX140" s="682"/>
      <c r="BY140" s="683"/>
    </row>
    <row r="141">
      <c r="A141" s="680">
        <f t="shared" si="15"/>
        <v>14</v>
      </c>
      <c r="B141" s="681" t="s">
        <v>658</v>
      </c>
      <c r="C141" s="682"/>
      <c r="D141" s="682"/>
      <c r="E141" s="682"/>
      <c r="F141" s="683"/>
      <c r="G141" s="681" t="s">
        <v>654</v>
      </c>
      <c r="H141" s="682"/>
      <c r="I141" s="682"/>
      <c r="J141" s="682"/>
      <c r="K141" s="683"/>
      <c r="L141" s="681">
        <v>8.0</v>
      </c>
      <c r="M141" s="682"/>
      <c r="N141" s="682"/>
      <c r="O141" s="682"/>
      <c r="P141" s="683"/>
      <c r="Q141" s="685">
        <v>5.0</v>
      </c>
      <c r="R141" s="693">
        <v>7.0</v>
      </c>
      <c r="S141" s="693">
        <v>10.0</v>
      </c>
      <c r="T141" s="693">
        <v>13.0</v>
      </c>
      <c r="U141" s="693">
        <v>16.0</v>
      </c>
      <c r="V141" s="685">
        <v>10.0</v>
      </c>
      <c r="W141" s="685">
        <v>10.0</v>
      </c>
      <c r="X141" s="685">
        <v>12.0</v>
      </c>
      <c r="Y141" s="685">
        <v>14.0</v>
      </c>
      <c r="Z141" s="685">
        <v>16.0</v>
      </c>
      <c r="AA141" s="685">
        <v>10.0</v>
      </c>
      <c r="AB141" s="689" t="s">
        <v>576</v>
      </c>
      <c r="AC141" s="689" t="s">
        <v>601</v>
      </c>
      <c r="AD141" s="689" t="s">
        <v>577</v>
      </c>
      <c r="AE141" s="689" t="s">
        <v>578</v>
      </c>
      <c r="AF141" s="689" t="s">
        <v>579</v>
      </c>
      <c r="AG141" s="681" t="str">
        <f>((#REF!-10)/2)</f>
        <v>#REF!</v>
      </c>
      <c r="AH141" s="682"/>
      <c r="AI141" s="682"/>
      <c r="AJ141" s="682"/>
      <c r="AK141" s="683"/>
      <c r="AL141" s="681" t="str">
        <f t="shared" si="34"/>
        <v>#REF!</v>
      </c>
      <c r="AM141" s="682"/>
      <c r="AN141" s="682"/>
      <c r="AO141" s="682"/>
      <c r="AP141" s="683"/>
      <c r="AQ141" s="689" t="s">
        <v>65</v>
      </c>
      <c r="AR141" s="689" t="s">
        <v>80</v>
      </c>
      <c r="AS141" s="689" t="s">
        <v>100</v>
      </c>
      <c r="AT141" s="690" t="str">
        <f>rounddown(($P$14-10)/2,0)+Prof</f>
        <v>#REF!</v>
      </c>
      <c r="AU141" s="690" t="str">
        <f>rounddown(($P$17-10)/2,0)+Prof</f>
        <v>#REF!</v>
      </c>
      <c r="AV141" s="690" t="str">
        <f>rounddown(($P$20-10)/2,0)+Prof</f>
        <v>#REF!</v>
      </c>
      <c r="AW141" s="685">
        <v>40.0</v>
      </c>
      <c r="AX141" s="685">
        <v>40.0</v>
      </c>
      <c r="AY141" s="685">
        <v>50.0</v>
      </c>
      <c r="AZ141" s="685">
        <v>50.0</v>
      </c>
      <c r="BA141" s="685">
        <v>60.0</v>
      </c>
      <c r="BB141" s="686" t="s">
        <v>582</v>
      </c>
      <c r="BC141" s="686" t="s">
        <v>101</v>
      </c>
      <c r="BD141" s="686" t="s">
        <v>339</v>
      </c>
      <c r="BE141" s="690" t="str">
        <f>rounddown(($P$11-10)/2,0)+Prof</f>
        <v>#REF!</v>
      </c>
      <c r="BF141" s="690" t="str">
        <f>rounddown(($P$20-10)/2,0)+Prof</f>
        <v>#REF!</v>
      </c>
      <c r="BG141" s="690" t="str">
        <f>rounddown(($P$17-10)/2,0)+Prof</f>
        <v>#REF!</v>
      </c>
      <c r="BH141" s="688" t="s">
        <v>659</v>
      </c>
      <c r="BI141" s="682"/>
      <c r="BJ141" s="682"/>
      <c r="BK141" s="682"/>
      <c r="BL141" s="683"/>
      <c r="BM141" s="688" t="s">
        <v>660</v>
      </c>
      <c r="BN141" s="683"/>
      <c r="BO141" s="686" t="str">
        <f>"+"&amp;(ROUNDDOWN((#REF!-10)/2,0)&amp;" Acid Damage")</f>
        <v>#REF!</v>
      </c>
      <c r="BP141" s="688" t="s">
        <v>661</v>
      </c>
      <c r="BQ141" s="683"/>
      <c r="BR141" s="688" t="s">
        <v>155</v>
      </c>
      <c r="BS141" s="683"/>
      <c r="BT141" s="686" t="s">
        <v>155</v>
      </c>
      <c r="BU141" s="688" t="s">
        <v>155</v>
      </c>
      <c r="BV141" s="683"/>
      <c r="BW141" s="688" t="s">
        <v>662</v>
      </c>
      <c r="BX141" s="682"/>
      <c r="BY141" s="683"/>
    </row>
    <row r="142">
      <c r="A142" s="680">
        <f t="shared" si="15"/>
        <v>15</v>
      </c>
      <c r="B142" s="681" t="s">
        <v>663</v>
      </c>
      <c r="C142" s="682"/>
      <c r="D142" s="682"/>
      <c r="E142" s="682"/>
      <c r="F142" s="683"/>
      <c r="G142" s="681" t="s">
        <v>629</v>
      </c>
      <c r="H142" s="682"/>
      <c r="I142" s="682"/>
      <c r="J142" s="682"/>
      <c r="K142" s="683"/>
      <c r="L142" s="681">
        <v>10.0</v>
      </c>
      <c r="M142" s="682"/>
      <c r="N142" s="682"/>
      <c r="O142" s="682"/>
      <c r="P142" s="683"/>
      <c r="Q142" s="684">
        <v>4.0</v>
      </c>
      <c r="R142" s="684">
        <v>6.0</v>
      </c>
      <c r="S142" s="684">
        <v>9.0</v>
      </c>
      <c r="T142" s="684">
        <v>12.0</v>
      </c>
      <c r="U142" s="684">
        <v>15.0</v>
      </c>
      <c r="V142" s="685">
        <v>10.0</v>
      </c>
      <c r="W142" s="685">
        <v>16.0</v>
      </c>
      <c r="X142" s="685">
        <v>12.0</v>
      </c>
      <c r="Y142" s="685">
        <v>10.0</v>
      </c>
      <c r="Z142" s="685">
        <v>10.0</v>
      </c>
      <c r="AA142" s="685">
        <v>14.0</v>
      </c>
      <c r="AB142" s="689" t="s">
        <v>576</v>
      </c>
      <c r="AC142" s="689" t="s">
        <v>601</v>
      </c>
      <c r="AD142" s="689" t="s">
        <v>577</v>
      </c>
      <c r="AE142" s="689" t="s">
        <v>578</v>
      </c>
      <c r="AF142" s="689" t="s">
        <v>579</v>
      </c>
      <c r="AG142" s="681" t="str">
        <f t="shared" ref="AG142:AG143" si="39">ROUNDDOWN((#REF!-10)/2,0)</f>
        <v>#REF!</v>
      </c>
      <c r="AH142" s="682"/>
      <c r="AI142" s="682"/>
      <c r="AJ142" s="682"/>
      <c r="AK142" s="683"/>
      <c r="AL142" s="681" t="str">
        <f t="shared" si="34"/>
        <v>#REF!</v>
      </c>
      <c r="AM142" s="682"/>
      <c r="AN142" s="682"/>
      <c r="AO142" s="682"/>
      <c r="AP142" s="683"/>
      <c r="AQ142" s="689" t="s">
        <v>52</v>
      </c>
      <c r="AR142" s="689" t="s">
        <v>65</v>
      </c>
      <c r="AS142" s="689" t="s">
        <v>119</v>
      </c>
      <c r="AT142" s="690" t="str">
        <f>rounddown(($P$11-10)/2,0)+Prof</f>
        <v>#REF!</v>
      </c>
      <c r="AU142" s="690" t="str">
        <f>rounddown(($P$14-10)/2,0)+Prof</f>
        <v>#REF!</v>
      </c>
      <c r="AV142" s="690" t="str">
        <f t="shared" ref="AV142:AV143" si="40">rounddown(($P$23-10)/2,0)+Prof</f>
        <v>#REF!</v>
      </c>
      <c r="AW142" s="685">
        <v>40.0</v>
      </c>
      <c r="AX142" s="685">
        <v>50.0</v>
      </c>
      <c r="AY142" s="685">
        <v>60.0</v>
      </c>
      <c r="AZ142" s="685">
        <v>70.0</v>
      </c>
      <c r="BA142" s="685">
        <v>80.0</v>
      </c>
      <c r="BB142" s="686" t="s">
        <v>66</v>
      </c>
      <c r="BC142" s="686" t="s">
        <v>582</v>
      </c>
      <c r="BD142" s="686" t="s">
        <v>568</v>
      </c>
      <c r="BE142" s="687" t="str">
        <f>rounddown(($P$8-10)/2,0)+Prof</f>
        <v>#REF!</v>
      </c>
      <c r="BF142" s="690" t="str">
        <f>rounddown(($P$11-10)/2,0)+Prof</f>
        <v>#REF!</v>
      </c>
      <c r="BG142" s="690" t="str">
        <f>rounddown(($P$20-10)/2,0)+Prof</f>
        <v>#REF!</v>
      </c>
      <c r="BH142" s="688" t="s">
        <v>570</v>
      </c>
      <c r="BI142" s="682"/>
      <c r="BJ142" s="682"/>
      <c r="BK142" s="682"/>
      <c r="BL142" s="683"/>
      <c r="BM142" s="688" t="s">
        <v>573</v>
      </c>
      <c r="BN142" s="683"/>
      <c r="BO142" s="686" t="str">
        <f>"+"&amp;(ROUNDDOWN((#REF!-10)/2,0)&amp;" Piercing Damage")</f>
        <v>#REF!</v>
      </c>
      <c r="BP142" s="688" t="s">
        <v>664</v>
      </c>
      <c r="BQ142" s="683"/>
      <c r="BR142" s="688" t="s">
        <v>155</v>
      </c>
      <c r="BS142" s="683"/>
      <c r="BT142" s="686" t="s">
        <v>155</v>
      </c>
      <c r="BU142" s="688" t="s">
        <v>155</v>
      </c>
      <c r="BV142" s="683"/>
      <c r="BW142" s="688" t="s">
        <v>665</v>
      </c>
      <c r="BX142" s="682"/>
      <c r="BY142" s="683"/>
    </row>
    <row r="143">
      <c r="A143" s="680">
        <f t="shared" si="15"/>
        <v>16</v>
      </c>
      <c r="B143" s="681" t="s">
        <v>666</v>
      </c>
      <c r="C143" s="682"/>
      <c r="D143" s="682"/>
      <c r="E143" s="682"/>
      <c r="F143" s="683"/>
      <c r="G143" s="681" t="s">
        <v>624</v>
      </c>
      <c r="H143" s="682"/>
      <c r="I143" s="682"/>
      <c r="J143" s="682"/>
      <c r="K143" s="683"/>
      <c r="L143" s="681">
        <v>8.0</v>
      </c>
      <c r="M143" s="682"/>
      <c r="N143" s="682"/>
      <c r="O143" s="682"/>
      <c r="P143" s="683"/>
      <c r="Q143" s="685">
        <v>5.0</v>
      </c>
      <c r="R143" s="693">
        <v>7.0</v>
      </c>
      <c r="S143" s="693">
        <v>10.0</v>
      </c>
      <c r="T143" s="693">
        <v>13.0</v>
      </c>
      <c r="U143" s="693">
        <v>16.0</v>
      </c>
      <c r="V143" s="685">
        <v>14.0</v>
      </c>
      <c r="W143" s="685">
        <v>10.0</v>
      </c>
      <c r="X143" s="685">
        <v>12.0</v>
      </c>
      <c r="Y143" s="685">
        <v>16.0</v>
      </c>
      <c r="Z143" s="685">
        <v>10.0</v>
      </c>
      <c r="AA143" s="685">
        <v>10.0</v>
      </c>
      <c r="AB143" s="689" t="s">
        <v>576</v>
      </c>
      <c r="AC143" s="689" t="s">
        <v>601</v>
      </c>
      <c r="AD143" s="689" t="s">
        <v>667</v>
      </c>
      <c r="AE143" s="689" t="s">
        <v>577</v>
      </c>
      <c r="AF143" s="689" t="s">
        <v>578</v>
      </c>
      <c r="AG143" s="681" t="str">
        <f t="shared" si="39"/>
        <v>#REF!</v>
      </c>
      <c r="AH143" s="682"/>
      <c r="AI143" s="682"/>
      <c r="AJ143" s="682"/>
      <c r="AK143" s="683"/>
      <c r="AL143" s="681" t="str">
        <f t="shared" si="34"/>
        <v>#REF!</v>
      </c>
      <c r="AM143" s="682"/>
      <c r="AN143" s="682"/>
      <c r="AO143" s="682"/>
      <c r="AP143" s="683"/>
      <c r="AQ143" s="689" t="s">
        <v>34</v>
      </c>
      <c r="AR143" s="689" t="s">
        <v>52</v>
      </c>
      <c r="AS143" s="689" t="s">
        <v>119</v>
      </c>
      <c r="AT143" s="687" t="str">
        <f t="shared" ref="AT143:AT144" si="42">rounddown(($P$8-10)/2,0)+Prof</f>
        <v>#REF!</v>
      </c>
      <c r="AU143" s="690" t="str">
        <f>rounddown(($P$11-10)/2,0)+Prof</f>
        <v>#REF!</v>
      </c>
      <c r="AV143" s="690" t="str">
        <f t="shared" si="40"/>
        <v>#REF!</v>
      </c>
      <c r="AW143" s="685">
        <v>30.0</v>
      </c>
      <c r="AX143" s="685">
        <v>40.0</v>
      </c>
      <c r="AY143" s="685">
        <v>40.0</v>
      </c>
      <c r="AZ143" s="685">
        <v>50.0</v>
      </c>
      <c r="BA143" s="685">
        <v>60.0</v>
      </c>
      <c r="BB143" s="686" t="s">
        <v>613</v>
      </c>
      <c r="BC143" s="686" t="s">
        <v>582</v>
      </c>
      <c r="BD143" s="686" t="s">
        <v>586</v>
      </c>
      <c r="BE143" s="690" t="str">
        <f t="shared" ref="BE143:BF143" si="41">rounddown(($P$11-10)/2,0)+Prof</f>
        <v>#REF!</v>
      </c>
      <c r="BF143" s="690" t="str">
        <f t="shared" si="41"/>
        <v>#REF!</v>
      </c>
      <c r="BG143" s="690" t="str">
        <f>rounddown(($P$23-10)/2,0)+Prof</f>
        <v>#REF!</v>
      </c>
      <c r="BH143" s="688" t="s">
        <v>668</v>
      </c>
      <c r="BI143" s="682"/>
      <c r="BJ143" s="682"/>
      <c r="BK143" s="682"/>
      <c r="BL143" s="683"/>
      <c r="BM143" s="688" t="s">
        <v>573</v>
      </c>
      <c r="BN143" s="683"/>
      <c r="BO143" s="686" t="str">
        <f>"+"&amp;(ROUNDDOWN((#REF!-10)/2,0)&amp;" Poison Damage")</f>
        <v>#REF!</v>
      </c>
      <c r="BP143" s="688" t="s">
        <v>621</v>
      </c>
      <c r="BQ143" s="683"/>
      <c r="BR143" s="688" t="s">
        <v>669</v>
      </c>
      <c r="BS143" s="683"/>
      <c r="BT143" s="686" t="s">
        <v>670</v>
      </c>
      <c r="BU143" s="688" t="s">
        <v>671</v>
      </c>
      <c r="BV143" s="683"/>
      <c r="BW143" s="688" t="s">
        <v>672</v>
      </c>
      <c r="BX143" s="682"/>
      <c r="BY143" s="683"/>
    </row>
    <row r="144">
      <c r="A144" s="680">
        <f t="shared" si="15"/>
        <v>17</v>
      </c>
      <c r="B144" s="681" t="s">
        <v>673</v>
      </c>
      <c r="C144" s="682"/>
      <c r="D144" s="682"/>
      <c r="E144" s="682"/>
      <c r="F144" s="683"/>
      <c r="G144" s="681" t="s">
        <v>562</v>
      </c>
      <c r="H144" s="682"/>
      <c r="I144" s="682"/>
      <c r="J144" s="682"/>
      <c r="K144" s="683"/>
      <c r="L144" s="681">
        <v>10.0</v>
      </c>
      <c r="M144" s="682"/>
      <c r="N144" s="682"/>
      <c r="O144" s="682"/>
      <c r="P144" s="683"/>
      <c r="Q144" s="684">
        <v>4.0</v>
      </c>
      <c r="R144" s="684">
        <v>6.0</v>
      </c>
      <c r="S144" s="684">
        <v>9.0</v>
      </c>
      <c r="T144" s="684">
        <v>12.0</v>
      </c>
      <c r="U144" s="684">
        <v>15.0</v>
      </c>
      <c r="V144" s="685">
        <v>16.0</v>
      </c>
      <c r="W144" s="685">
        <v>10.0</v>
      </c>
      <c r="X144" s="685">
        <v>12.0</v>
      </c>
      <c r="Y144" s="685">
        <v>10.0</v>
      </c>
      <c r="Z144" s="685">
        <v>14.0</v>
      </c>
      <c r="AA144" s="685">
        <v>10.0</v>
      </c>
      <c r="AB144" s="689" t="s">
        <v>563</v>
      </c>
      <c r="AC144" s="689" t="s">
        <v>564</v>
      </c>
      <c r="AD144" s="689" t="s">
        <v>564</v>
      </c>
      <c r="AE144" s="689" t="s">
        <v>565</v>
      </c>
      <c r="AF144" s="689" t="s">
        <v>566</v>
      </c>
      <c r="AG144" s="681" t="str">
        <f>((#REF!-10)/2)</f>
        <v>#REF!</v>
      </c>
      <c r="AH144" s="682"/>
      <c r="AI144" s="682"/>
      <c r="AJ144" s="682"/>
      <c r="AK144" s="683"/>
      <c r="AL144" s="681" t="str">
        <f t="shared" si="34"/>
        <v>#REF!</v>
      </c>
      <c r="AM144" s="682"/>
      <c r="AN144" s="682"/>
      <c r="AO144" s="682"/>
      <c r="AP144" s="683"/>
      <c r="AQ144" s="689" t="s">
        <v>34</v>
      </c>
      <c r="AR144" s="689" t="s">
        <v>65</v>
      </c>
      <c r="AS144" s="689" t="s">
        <v>100</v>
      </c>
      <c r="AT144" s="687" t="str">
        <f t="shared" si="42"/>
        <v>#REF!</v>
      </c>
      <c r="AU144" s="690" t="str">
        <f>rounddown(($P$14-10)/2,0)+Prof</f>
        <v>#REF!</v>
      </c>
      <c r="AV144" s="690" t="str">
        <f t="shared" ref="AV144:AV145" si="43">rounddown(($P$20-10)/2,0)+Prof</f>
        <v>#REF!</v>
      </c>
      <c r="AW144" s="685">
        <v>30.0</v>
      </c>
      <c r="AX144" s="685">
        <v>40.0</v>
      </c>
      <c r="AY144" s="685">
        <v>40.0</v>
      </c>
      <c r="AZ144" s="685">
        <v>50.0</v>
      </c>
      <c r="BA144" s="685">
        <v>60.0</v>
      </c>
      <c r="BB144" s="686" t="s">
        <v>66</v>
      </c>
      <c r="BC144" s="686" t="s">
        <v>582</v>
      </c>
      <c r="BD144" s="686" t="s">
        <v>568</v>
      </c>
      <c r="BE144" s="687" t="str">
        <f t="shared" ref="BE144:BE146" si="44">rounddown(($P$8-10)/2,0)+Prof</f>
        <v>#REF!</v>
      </c>
      <c r="BF144" s="690" t="str">
        <f t="shared" ref="BF144:BF145" si="45">rounddown(($P$11-10)/2,0)+Prof</f>
        <v>#REF!</v>
      </c>
      <c r="BG144" s="690" t="str">
        <f>rounddown(($P$20-10)/2,0)+Prof</f>
        <v>#REF!</v>
      </c>
      <c r="BH144" s="688" t="s">
        <v>674</v>
      </c>
      <c r="BI144" s="682"/>
      <c r="BJ144" s="682"/>
      <c r="BK144" s="682"/>
      <c r="BL144" s="683"/>
      <c r="BM144" s="688" t="s">
        <v>573</v>
      </c>
      <c r="BN144" s="683"/>
      <c r="BO144" s="686" t="str">
        <f>"+"&amp;(ROUNDDOWN((#REF!-10)/2,0)&amp;" Piercing Damage")</f>
        <v>#REF!</v>
      </c>
      <c r="BP144" s="688" t="s">
        <v>675</v>
      </c>
      <c r="BQ144" s="683"/>
      <c r="BR144" s="688" t="s">
        <v>676</v>
      </c>
      <c r="BS144" s="683"/>
      <c r="BT144" s="686" t="str">
        <f>"+"&amp;(ROUNDDOWN((#REF!-10)/2,0)&amp;" Slashing Damage")</f>
        <v>#REF!</v>
      </c>
      <c r="BU144" s="688" t="s">
        <v>677</v>
      </c>
      <c r="BV144" s="683"/>
      <c r="BW144" s="688" t="s">
        <v>678</v>
      </c>
      <c r="BX144" s="682"/>
      <c r="BY144" s="683"/>
    </row>
    <row r="145">
      <c r="A145" s="680">
        <f t="shared" si="15"/>
        <v>18</v>
      </c>
      <c r="B145" s="681" t="s">
        <v>679</v>
      </c>
      <c r="C145" s="682"/>
      <c r="D145" s="682"/>
      <c r="E145" s="682"/>
      <c r="F145" s="683"/>
      <c r="G145" s="681" t="s">
        <v>654</v>
      </c>
      <c r="H145" s="682"/>
      <c r="I145" s="682"/>
      <c r="J145" s="682"/>
      <c r="K145" s="683"/>
      <c r="L145" s="681">
        <v>8.0</v>
      </c>
      <c r="M145" s="682"/>
      <c r="N145" s="682"/>
      <c r="O145" s="682"/>
      <c r="P145" s="683"/>
      <c r="Q145" s="685">
        <v>5.0</v>
      </c>
      <c r="R145" s="693">
        <v>7.0</v>
      </c>
      <c r="S145" s="693">
        <v>10.0</v>
      </c>
      <c r="T145" s="693">
        <v>13.0</v>
      </c>
      <c r="U145" s="693">
        <v>16.0</v>
      </c>
      <c r="V145" s="685">
        <v>14.0</v>
      </c>
      <c r="W145" s="685">
        <v>12.0</v>
      </c>
      <c r="X145" s="685">
        <v>12.0</v>
      </c>
      <c r="Y145" s="685">
        <v>14.0</v>
      </c>
      <c r="Z145" s="685">
        <v>12.0</v>
      </c>
      <c r="AA145" s="685">
        <v>11.0</v>
      </c>
      <c r="AB145" s="689" t="s">
        <v>608</v>
      </c>
      <c r="AC145" s="689" t="s">
        <v>610</v>
      </c>
      <c r="AD145" s="689" t="s">
        <v>611</v>
      </c>
      <c r="AE145" s="689" t="s">
        <v>612</v>
      </c>
      <c r="AF145" s="689" t="s">
        <v>680</v>
      </c>
      <c r="AG145" s="681">
        <f t="shared" ref="AG145:AG147" si="46">rounddown(($P$17-10)/2,0)</f>
        <v>-5</v>
      </c>
      <c r="AH145" s="682"/>
      <c r="AI145" s="682"/>
      <c r="AJ145" s="682"/>
      <c r="AK145" s="683"/>
      <c r="AL145" s="681" t="str">
        <f t="shared" si="34"/>
        <v>#REF!</v>
      </c>
      <c r="AM145" s="682"/>
      <c r="AN145" s="682"/>
      <c r="AO145" s="682"/>
      <c r="AP145" s="683"/>
      <c r="AQ145" s="689" t="s">
        <v>65</v>
      </c>
      <c r="AR145" s="689" t="s">
        <v>80</v>
      </c>
      <c r="AS145" s="689" t="s">
        <v>100</v>
      </c>
      <c r="AT145" s="690" t="str">
        <f>rounddown(($P$14-10)/2,0)+Prof</f>
        <v>#REF!</v>
      </c>
      <c r="AU145" s="690" t="str">
        <f>rounddown(($P$17-10)/2,0)+Prof</f>
        <v>#REF!</v>
      </c>
      <c r="AV145" s="690" t="str">
        <f t="shared" si="43"/>
        <v>#REF!</v>
      </c>
      <c r="AW145" s="685">
        <v>30.0</v>
      </c>
      <c r="AX145" s="685">
        <v>40.0</v>
      </c>
      <c r="AY145" s="685">
        <v>50.0</v>
      </c>
      <c r="AZ145" s="685">
        <v>50.0</v>
      </c>
      <c r="BA145" s="685">
        <v>60.0</v>
      </c>
      <c r="BB145" s="686" t="s">
        <v>66</v>
      </c>
      <c r="BC145" s="686" t="s">
        <v>613</v>
      </c>
      <c r="BD145" s="686" t="s">
        <v>339</v>
      </c>
      <c r="BE145" s="687" t="str">
        <f t="shared" si="44"/>
        <v>#REF!</v>
      </c>
      <c r="BF145" s="690" t="str">
        <f t="shared" si="45"/>
        <v>#REF!</v>
      </c>
      <c r="BG145" s="690" t="str">
        <f>rounddown(($P$17-10)/2,0)+Prof</f>
        <v>#REF!</v>
      </c>
      <c r="BH145" s="688" t="s">
        <v>681</v>
      </c>
      <c r="BI145" s="682"/>
      <c r="BJ145" s="682"/>
      <c r="BK145" s="682"/>
      <c r="BL145" s="683"/>
      <c r="BM145" s="688" t="s">
        <v>682</v>
      </c>
      <c r="BN145" s="683"/>
      <c r="BO145" s="686" t="str">
        <f>"+"&amp;(ROUNDDOWN((#REF!-10)/2,0)&amp;" Bludgeoning Damage")</f>
        <v>#REF!</v>
      </c>
      <c r="BP145" s="688" t="s">
        <v>683</v>
      </c>
      <c r="BQ145" s="683"/>
      <c r="BR145" s="688" t="s">
        <v>684</v>
      </c>
      <c r="BS145" s="683"/>
      <c r="BT145" s="686" t="s">
        <v>638</v>
      </c>
      <c r="BU145" s="688" t="s">
        <v>685</v>
      </c>
      <c r="BV145" s="683"/>
      <c r="BW145" s="688" t="s">
        <v>686</v>
      </c>
      <c r="BX145" s="682"/>
      <c r="BY145" s="683"/>
    </row>
    <row r="146">
      <c r="A146" s="680">
        <f t="shared" si="15"/>
        <v>19</v>
      </c>
      <c r="B146" s="681" t="s">
        <v>687</v>
      </c>
      <c r="C146" s="682"/>
      <c r="D146" s="682"/>
      <c r="E146" s="682"/>
      <c r="F146" s="683"/>
      <c r="G146" s="681" t="s">
        <v>629</v>
      </c>
      <c r="H146" s="682"/>
      <c r="I146" s="682"/>
      <c r="J146" s="682"/>
      <c r="K146" s="683"/>
      <c r="L146" s="681">
        <v>10.0</v>
      </c>
      <c r="M146" s="682"/>
      <c r="N146" s="682"/>
      <c r="O146" s="682"/>
      <c r="P146" s="683"/>
      <c r="Q146" s="685">
        <v>4.0</v>
      </c>
      <c r="R146" s="685">
        <v>6.0</v>
      </c>
      <c r="S146" s="685">
        <v>9.0</v>
      </c>
      <c r="T146" s="685">
        <v>12.0</v>
      </c>
      <c r="U146" s="685">
        <v>15.0</v>
      </c>
      <c r="V146" s="685">
        <v>13.0</v>
      </c>
      <c r="W146" s="685">
        <v>8.0</v>
      </c>
      <c r="X146" s="685">
        <v>16.0</v>
      </c>
      <c r="Y146" s="685">
        <v>14.0</v>
      </c>
      <c r="Z146" s="685">
        <v>11.0</v>
      </c>
      <c r="AA146" s="685">
        <v>10.0</v>
      </c>
      <c r="AB146" s="689" t="s">
        <v>576</v>
      </c>
      <c r="AC146" s="689" t="s">
        <v>601</v>
      </c>
      <c r="AD146" s="689" t="s">
        <v>577</v>
      </c>
      <c r="AE146" s="689" t="s">
        <v>578</v>
      </c>
      <c r="AF146" s="689" t="s">
        <v>579</v>
      </c>
      <c r="AG146" s="681">
        <f t="shared" si="46"/>
        <v>-5</v>
      </c>
      <c r="AH146" s="682"/>
      <c r="AI146" s="682"/>
      <c r="AJ146" s="682"/>
      <c r="AK146" s="683"/>
      <c r="AL146" s="681" t="str">
        <f t="shared" si="34"/>
        <v>#REF!</v>
      </c>
      <c r="AM146" s="682"/>
      <c r="AN146" s="682"/>
      <c r="AO146" s="682"/>
      <c r="AP146" s="683"/>
      <c r="AQ146" s="689" t="s">
        <v>34</v>
      </c>
      <c r="AR146" s="689" t="s">
        <v>65</v>
      </c>
      <c r="AS146" s="689" t="s">
        <v>80</v>
      </c>
      <c r="AT146" s="687" t="str">
        <f>rounddown(($P$8-10)/2,0)+Prof</f>
        <v>#REF!</v>
      </c>
      <c r="AU146" s="690" t="str">
        <f t="shared" ref="AU146:AU147" si="48">rounddown(($P$14-10)/2,0)+Prof</f>
        <v>#REF!</v>
      </c>
      <c r="AV146" s="690" t="str">
        <f t="shared" ref="AV146:AV147" si="49">rounddown(($P$17-10)/2,0)+Prof</f>
        <v>#REF!</v>
      </c>
      <c r="AW146" s="685">
        <v>30.0</v>
      </c>
      <c r="AX146" s="685">
        <v>30.0</v>
      </c>
      <c r="AY146" s="685">
        <v>40.0</v>
      </c>
      <c r="AZ146" s="685">
        <v>40.0</v>
      </c>
      <c r="BA146" s="685">
        <v>50.0</v>
      </c>
      <c r="BB146" s="686" t="s">
        <v>66</v>
      </c>
      <c r="BC146" s="686" t="s">
        <v>569</v>
      </c>
      <c r="BD146" s="686" t="s">
        <v>568</v>
      </c>
      <c r="BE146" s="687" t="str">
        <f t="shared" si="44"/>
        <v>#REF!</v>
      </c>
      <c r="BF146" s="690" t="str">
        <f t="shared" ref="BF146:BG146" si="47">rounddown(($P$20-10)/2,0)+Prof</f>
        <v>#REF!</v>
      </c>
      <c r="BG146" s="690" t="str">
        <f t="shared" si="47"/>
        <v>#REF!</v>
      </c>
      <c r="BH146" s="688" t="s">
        <v>688</v>
      </c>
      <c r="BI146" s="682"/>
      <c r="BJ146" s="682"/>
      <c r="BK146" s="682"/>
      <c r="BL146" s="683"/>
      <c r="BM146" s="688" t="s">
        <v>573</v>
      </c>
      <c r="BN146" s="683"/>
      <c r="BO146" s="686" t="str">
        <f t="shared" ref="BO146:BO151" si="51">"+"&amp;(ROUNDDOWN((#REF!-10)/2,0)&amp;" Piercing Damage")</f>
        <v>#REF!</v>
      </c>
      <c r="BP146" s="688" t="s">
        <v>621</v>
      </c>
      <c r="BQ146" s="683"/>
      <c r="BR146" s="688" t="s">
        <v>155</v>
      </c>
      <c r="BS146" s="683"/>
      <c r="BT146" s="686" t="s">
        <v>155</v>
      </c>
      <c r="BU146" s="688" t="s">
        <v>155</v>
      </c>
      <c r="BV146" s="683"/>
      <c r="BW146" s="688" t="s">
        <v>689</v>
      </c>
      <c r="BX146" s="682"/>
      <c r="BY146" s="683"/>
    </row>
    <row r="147">
      <c r="A147" s="680">
        <f t="shared" si="15"/>
        <v>20</v>
      </c>
      <c r="B147" s="681" t="s">
        <v>690</v>
      </c>
      <c r="C147" s="682"/>
      <c r="D147" s="682"/>
      <c r="E147" s="682"/>
      <c r="F147" s="683"/>
      <c r="G147" s="681" t="s">
        <v>607</v>
      </c>
      <c r="H147" s="682"/>
      <c r="I147" s="682"/>
      <c r="J147" s="682"/>
      <c r="K147" s="683"/>
      <c r="L147" s="681">
        <v>8.0</v>
      </c>
      <c r="M147" s="682"/>
      <c r="N147" s="682"/>
      <c r="O147" s="682"/>
      <c r="P147" s="683"/>
      <c r="Q147" s="685">
        <v>5.0</v>
      </c>
      <c r="R147" s="693">
        <v>7.0</v>
      </c>
      <c r="S147" s="693">
        <v>10.0</v>
      </c>
      <c r="T147" s="693">
        <v>13.0</v>
      </c>
      <c r="U147" s="693">
        <v>16.0</v>
      </c>
      <c r="V147" s="685">
        <v>8.0</v>
      </c>
      <c r="W147" s="685">
        <v>16.0</v>
      </c>
      <c r="X147" s="685">
        <v>12.0</v>
      </c>
      <c r="Y147" s="685">
        <v>14.0</v>
      </c>
      <c r="Z147" s="685">
        <v>12.0</v>
      </c>
      <c r="AA147" s="685">
        <v>10.0</v>
      </c>
      <c r="AB147" s="689" t="s">
        <v>608</v>
      </c>
      <c r="AC147" s="689" t="s">
        <v>691</v>
      </c>
      <c r="AD147" s="689" t="s">
        <v>610</v>
      </c>
      <c r="AE147" s="689" t="s">
        <v>610</v>
      </c>
      <c r="AF147" s="689" t="s">
        <v>692</v>
      </c>
      <c r="AG147" s="681">
        <f t="shared" si="46"/>
        <v>-5</v>
      </c>
      <c r="AH147" s="682"/>
      <c r="AI147" s="682"/>
      <c r="AJ147" s="682"/>
      <c r="AK147" s="683"/>
      <c r="AL147" s="681" t="str">
        <f t="shared" si="34"/>
        <v>#REF!</v>
      </c>
      <c r="AM147" s="682"/>
      <c r="AN147" s="682"/>
      <c r="AO147" s="682"/>
      <c r="AP147" s="683"/>
      <c r="AQ147" s="689" t="s">
        <v>52</v>
      </c>
      <c r="AR147" s="689" t="s">
        <v>65</v>
      </c>
      <c r="AS147" s="689" t="s">
        <v>80</v>
      </c>
      <c r="AT147" s="690" t="str">
        <f t="shared" ref="AT147:AT148" si="52">rounddown(($P$11-10)/2,0)+Prof</f>
        <v>#REF!</v>
      </c>
      <c r="AU147" s="690" t="str">
        <f t="shared" si="48"/>
        <v>#REF!</v>
      </c>
      <c r="AV147" s="690" t="str">
        <f t="shared" si="49"/>
        <v>#REF!</v>
      </c>
      <c r="AW147" s="685">
        <v>40.0</v>
      </c>
      <c r="AX147" s="685">
        <v>45.0</v>
      </c>
      <c r="AY147" s="685">
        <v>50.0</v>
      </c>
      <c r="AZ147" s="685">
        <v>60.0</v>
      </c>
      <c r="BA147" s="685">
        <v>70.0</v>
      </c>
      <c r="BB147" s="686" t="s">
        <v>613</v>
      </c>
      <c r="BC147" s="686" t="s">
        <v>582</v>
      </c>
      <c r="BD147" s="686" t="s">
        <v>568</v>
      </c>
      <c r="BE147" s="690" t="str">
        <f t="shared" ref="BE147:BF147" si="50">rounddown(($P$11-10)/2,0)+Prof</f>
        <v>#REF!</v>
      </c>
      <c r="BF147" s="690" t="str">
        <f t="shared" si="50"/>
        <v>#REF!</v>
      </c>
      <c r="BG147" s="690" t="str">
        <f>rounddown(($P$20-10)/2,0)+Prof</f>
        <v>#REF!</v>
      </c>
      <c r="BH147" s="688" t="s">
        <v>693</v>
      </c>
      <c r="BI147" s="682"/>
      <c r="BJ147" s="682"/>
      <c r="BK147" s="682"/>
      <c r="BL147" s="683"/>
      <c r="BM147" s="688" t="s">
        <v>571</v>
      </c>
      <c r="BN147" s="683"/>
      <c r="BO147" s="686" t="str">
        <f t="shared" si="51"/>
        <v>#REF!</v>
      </c>
      <c r="BP147" s="688" t="s">
        <v>621</v>
      </c>
      <c r="BQ147" s="683"/>
      <c r="BR147" s="688" t="s">
        <v>638</v>
      </c>
      <c r="BS147" s="683"/>
      <c r="BT147" s="686" t="s">
        <v>638</v>
      </c>
      <c r="BU147" s="688" t="s">
        <v>638</v>
      </c>
      <c r="BV147" s="683"/>
      <c r="BW147" s="688" t="s">
        <v>694</v>
      </c>
      <c r="BX147" s="682"/>
      <c r="BY147" s="683"/>
    </row>
    <row r="148">
      <c r="A148" s="680">
        <f t="shared" si="15"/>
        <v>21</v>
      </c>
      <c r="B148" s="681" t="s">
        <v>695</v>
      </c>
      <c r="C148" s="682"/>
      <c r="D148" s="682"/>
      <c r="E148" s="682"/>
      <c r="F148" s="683"/>
      <c r="G148" s="681" t="s">
        <v>562</v>
      </c>
      <c r="H148" s="682"/>
      <c r="I148" s="682"/>
      <c r="J148" s="682"/>
      <c r="K148" s="683"/>
      <c r="L148" s="681">
        <v>8.0</v>
      </c>
      <c r="M148" s="682"/>
      <c r="N148" s="682"/>
      <c r="O148" s="682"/>
      <c r="P148" s="683"/>
      <c r="Q148" s="685">
        <v>4.0</v>
      </c>
      <c r="R148" s="685">
        <v>5.0</v>
      </c>
      <c r="S148" s="685">
        <v>7.0</v>
      </c>
      <c r="T148" s="685">
        <v>9.0</v>
      </c>
      <c r="U148" s="685">
        <v>11.0</v>
      </c>
      <c r="V148" s="685">
        <v>8.0</v>
      </c>
      <c r="W148" s="685">
        <v>12.0</v>
      </c>
      <c r="X148" s="685">
        <v>10.0</v>
      </c>
      <c r="Y148" s="685">
        <v>16.0</v>
      </c>
      <c r="Z148" s="685">
        <v>10.0</v>
      </c>
      <c r="AA148" s="685">
        <v>14.0</v>
      </c>
      <c r="AB148" s="689" t="s">
        <v>576</v>
      </c>
      <c r="AC148" s="689" t="s">
        <v>601</v>
      </c>
      <c r="AD148" s="689" t="s">
        <v>577</v>
      </c>
      <c r="AE148" s="689" t="s">
        <v>578</v>
      </c>
      <c r="AF148" s="689" t="s">
        <v>579</v>
      </c>
      <c r="AG148" s="681" t="str">
        <f t="shared" ref="AG148:AG151" si="53">((#REF!-10)/2)</f>
        <v>#REF!</v>
      </c>
      <c r="AH148" s="682"/>
      <c r="AI148" s="682"/>
      <c r="AJ148" s="682"/>
      <c r="AK148" s="683"/>
      <c r="AL148" s="681" t="str">
        <f t="shared" si="34"/>
        <v>#REF!</v>
      </c>
      <c r="AM148" s="682"/>
      <c r="AN148" s="682"/>
      <c r="AO148" s="682"/>
      <c r="AP148" s="683"/>
      <c r="AQ148" s="689" t="s">
        <v>52</v>
      </c>
      <c r="AR148" s="689" t="s">
        <v>80</v>
      </c>
      <c r="AS148" s="689" t="s">
        <v>119</v>
      </c>
      <c r="AT148" s="690" t="str">
        <f t="shared" si="52"/>
        <v>#REF!</v>
      </c>
      <c r="AU148" s="690" t="str">
        <f>rounddown(($P$17-10)/2,0)+Prof</f>
        <v>#REF!</v>
      </c>
      <c r="AV148" s="690" t="str">
        <f>rounddown(($P$23-10)/2,0)+Prof</f>
        <v>#REF!</v>
      </c>
      <c r="AW148" s="685">
        <v>30.0</v>
      </c>
      <c r="AX148" s="685">
        <v>40.0</v>
      </c>
      <c r="AY148" s="685">
        <v>40.0</v>
      </c>
      <c r="AZ148" s="685">
        <v>50.0</v>
      </c>
      <c r="BA148" s="685">
        <v>60.0</v>
      </c>
      <c r="BB148" s="686" t="s">
        <v>602</v>
      </c>
      <c r="BC148" s="686" t="s">
        <v>581</v>
      </c>
      <c r="BD148" s="686" t="s">
        <v>569</v>
      </c>
      <c r="BE148" s="690" t="str">
        <f>rounddown(($P$17-10)/2,0)+Prof</f>
        <v>#REF!</v>
      </c>
      <c r="BF148" s="690" t="str">
        <f>rounddown(($P$23-10)/2,0)+Prof</f>
        <v>#REF!</v>
      </c>
      <c r="BG148" s="690" t="str">
        <f>rounddown(($P$17-10)/2,0)+Prof</f>
        <v>#REF!</v>
      </c>
      <c r="BH148" s="688" t="s">
        <v>696</v>
      </c>
      <c r="BI148" s="682"/>
      <c r="BJ148" s="682"/>
      <c r="BK148" s="682"/>
      <c r="BL148" s="683"/>
      <c r="BM148" s="688" t="s">
        <v>571</v>
      </c>
      <c r="BN148" s="683"/>
      <c r="BO148" s="686" t="str">
        <f t="shared" si="51"/>
        <v>#REF!</v>
      </c>
      <c r="BP148" s="688" t="s">
        <v>621</v>
      </c>
      <c r="BQ148" s="683"/>
      <c r="BR148" s="688" t="s">
        <v>155</v>
      </c>
      <c r="BS148" s="683"/>
      <c r="BT148" s="686" t="s">
        <v>155</v>
      </c>
      <c r="BU148" s="688" t="s">
        <v>155</v>
      </c>
      <c r="BV148" s="683"/>
      <c r="BW148" s="688" t="s">
        <v>697</v>
      </c>
      <c r="BX148" s="682"/>
      <c r="BY148" s="683"/>
    </row>
    <row r="149">
      <c r="A149" s="680">
        <f t="shared" si="15"/>
        <v>22</v>
      </c>
      <c r="B149" s="681" t="s">
        <v>698</v>
      </c>
      <c r="C149" s="682"/>
      <c r="D149" s="682"/>
      <c r="E149" s="682"/>
      <c r="F149" s="683"/>
      <c r="G149" s="681" t="s">
        <v>562</v>
      </c>
      <c r="H149" s="682"/>
      <c r="I149" s="682"/>
      <c r="J149" s="682"/>
      <c r="K149" s="683"/>
      <c r="L149" s="681">
        <v>10.0</v>
      </c>
      <c r="M149" s="682"/>
      <c r="N149" s="682"/>
      <c r="O149" s="682"/>
      <c r="P149" s="683"/>
      <c r="Q149" s="685">
        <v>4.0</v>
      </c>
      <c r="R149" s="685">
        <v>5.0</v>
      </c>
      <c r="S149" s="685">
        <v>7.0</v>
      </c>
      <c r="T149" s="685">
        <v>9.0</v>
      </c>
      <c r="U149" s="685">
        <v>11.0</v>
      </c>
      <c r="V149" s="685">
        <v>14.0</v>
      </c>
      <c r="W149" s="685">
        <v>14.0</v>
      </c>
      <c r="X149" s="685">
        <v>14.0</v>
      </c>
      <c r="Y149" s="685">
        <v>10.0</v>
      </c>
      <c r="Z149" s="685">
        <v>12.0</v>
      </c>
      <c r="AA149" s="685">
        <v>10.0</v>
      </c>
      <c r="AB149" s="689" t="s">
        <v>576</v>
      </c>
      <c r="AC149" s="689" t="s">
        <v>563</v>
      </c>
      <c r="AD149" s="689" t="s">
        <v>644</v>
      </c>
      <c r="AE149" s="689" t="s">
        <v>644</v>
      </c>
      <c r="AF149" s="689" t="s">
        <v>644</v>
      </c>
      <c r="AG149" s="681" t="str">
        <f t="shared" si="53"/>
        <v>#REF!</v>
      </c>
      <c r="AH149" s="682"/>
      <c r="AI149" s="682"/>
      <c r="AJ149" s="682"/>
      <c r="AK149" s="683"/>
      <c r="AL149" s="681" t="str">
        <f t="shared" si="34"/>
        <v>#REF!</v>
      </c>
      <c r="AM149" s="682"/>
      <c r="AN149" s="682"/>
      <c r="AO149" s="682"/>
      <c r="AP149" s="683"/>
      <c r="AQ149" s="689" t="s">
        <v>52</v>
      </c>
      <c r="AR149" s="689" t="s">
        <v>80</v>
      </c>
      <c r="AS149" s="689" t="s">
        <v>100</v>
      </c>
      <c r="AT149" s="690" t="str">
        <f t="shared" ref="AT149:AV149" si="54">rounddown((#REF!-10)/2,0)+Prof</f>
        <v>#REF!</v>
      </c>
      <c r="AU149" s="690" t="str">
        <f t="shared" si="54"/>
        <v>#REF!</v>
      </c>
      <c r="AV149" s="690" t="str">
        <f t="shared" si="54"/>
        <v>#REF!</v>
      </c>
      <c r="AW149" s="685">
        <v>40.0</v>
      </c>
      <c r="AX149" s="685">
        <v>55.0</v>
      </c>
      <c r="AY149" s="685">
        <v>60.0</v>
      </c>
      <c r="AZ149" s="685">
        <v>70.0</v>
      </c>
      <c r="BA149" s="685">
        <v>85.0</v>
      </c>
      <c r="BB149" s="686" t="s">
        <v>66</v>
      </c>
      <c r="BC149" s="686" t="s">
        <v>568</v>
      </c>
      <c r="BD149" s="686" t="s">
        <v>602</v>
      </c>
      <c r="BE149" s="694"/>
      <c r="BF149" s="694"/>
      <c r="BG149" s="694"/>
      <c r="BH149" s="688" t="s">
        <v>699</v>
      </c>
      <c r="BI149" s="682"/>
      <c r="BJ149" s="682"/>
      <c r="BK149" s="682"/>
      <c r="BL149" s="683"/>
      <c r="BM149" s="688" t="s">
        <v>700</v>
      </c>
      <c r="BN149" s="683"/>
      <c r="BO149" s="686" t="str">
        <f t="shared" si="51"/>
        <v>#REF!</v>
      </c>
      <c r="BP149" s="688" t="s">
        <v>604</v>
      </c>
      <c r="BQ149" s="683"/>
      <c r="BR149" s="688" t="s">
        <v>155</v>
      </c>
      <c r="BS149" s="683"/>
      <c r="BT149" s="686" t="s">
        <v>155</v>
      </c>
      <c r="BU149" s="688" t="s">
        <v>155</v>
      </c>
      <c r="BV149" s="683"/>
      <c r="BW149" s="688" t="s">
        <v>701</v>
      </c>
      <c r="BX149" s="682"/>
      <c r="BY149" s="683"/>
    </row>
    <row r="150">
      <c r="A150" s="680">
        <f t="shared" si="15"/>
        <v>23</v>
      </c>
      <c r="B150" s="681" t="s">
        <v>702</v>
      </c>
      <c r="C150" s="682"/>
      <c r="D150" s="682"/>
      <c r="E150" s="682"/>
      <c r="F150" s="683"/>
      <c r="G150" s="681" t="s">
        <v>562</v>
      </c>
      <c r="H150" s="682"/>
      <c r="I150" s="682"/>
      <c r="J150" s="682"/>
      <c r="K150" s="683"/>
      <c r="L150" s="681">
        <v>10.0</v>
      </c>
      <c r="M150" s="682"/>
      <c r="N150" s="682"/>
      <c r="O150" s="682"/>
      <c r="P150" s="683"/>
      <c r="Q150" s="685">
        <v>4.0</v>
      </c>
      <c r="R150" s="685">
        <v>5.0</v>
      </c>
      <c r="S150" s="685">
        <v>7.0</v>
      </c>
      <c r="T150" s="685">
        <v>9.0</v>
      </c>
      <c r="U150" s="685">
        <v>11.0</v>
      </c>
      <c r="V150" s="685">
        <v>14.0</v>
      </c>
      <c r="W150" s="685">
        <v>14.0</v>
      </c>
      <c r="X150" s="685">
        <v>14.0</v>
      </c>
      <c r="Y150" s="685">
        <v>10.0</v>
      </c>
      <c r="Z150" s="685">
        <v>12.0</v>
      </c>
      <c r="AA150" s="685">
        <v>10.0</v>
      </c>
      <c r="AB150" s="689" t="s">
        <v>576</v>
      </c>
      <c r="AC150" s="689" t="s">
        <v>563</v>
      </c>
      <c r="AD150" s="689" t="s">
        <v>644</v>
      </c>
      <c r="AE150" s="689" t="s">
        <v>644</v>
      </c>
      <c r="AF150" s="689" t="s">
        <v>644</v>
      </c>
      <c r="AG150" s="681" t="str">
        <f t="shared" si="53"/>
        <v>#REF!</v>
      </c>
      <c r="AH150" s="682"/>
      <c r="AI150" s="682"/>
      <c r="AJ150" s="682"/>
      <c r="AK150" s="683"/>
      <c r="AL150" s="681" t="str">
        <f t="shared" si="34"/>
        <v>#REF!</v>
      </c>
      <c r="AM150" s="682"/>
      <c r="AN150" s="682"/>
      <c r="AO150" s="682"/>
      <c r="AP150" s="683"/>
      <c r="AQ150" s="689" t="s">
        <v>52</v>
      </c>
      <c r="AR150" s="689" t="s">
        <v>80</v>
      </c>
      <c r="AS150" s="689" t="s">
        <v>100</v>
      </c>
      <c r="AT150" s="690" t="str">
        <f t="shared" ref="AT150:AV150" si="55">rounddown((#REF!-10)/2,0)+Prof</f>
        <v>#REF!</v>
      </c>
      <c r="AU150" s="690" t="str">
        <f t="shared" si="55"/>
        <v>#REF!</v>
      </c>
      <c r="AV150" s="690" t="str">
        <f t="shared" si="55"/>
        <v>#REF!</v>
      </c>
      <c r="AW150" s="685">
        <v>30.0</v>
      </c>
      <c r="AX150" s="685">
        <v>45.0</v>
      </c>
      <c r="AY150" s="685">
        <v>50.0</v>
      </c>
      <c r="AZ150" s="685">
        <v>60.0</v>
      </c>
      <c r="BA150" s="685">
        <v>75.0</v>
      </c>
      <c r="BB150" s="686" t="s">
        <v>66</v>
      </c>
      <c r="BC150" s="686" t="s">
        <v>568</v>
      </c>
      <c r="BD150" s="686" t="s">
        <v>602</v>
      </c>
      <c r="BE150" s="694"/>
      <c r="BF150" s="694"/>
      <c r="BG150" s="694"/>
      <c r="BH150" s="688" t="s">
        <v>699</v>
      </c>
      <c r="BI150" s="682"/>
      <c r="BJ150" s="682"/>
      <c r="BK150" s="682"/>
      <c r="BL150" s="683"/>
      <c r="BM150" s="688" t="s">
        <v>573</v>
      </c>
      <c r="BN150" s="683"/>
      <c r="BO150" s="686" t="str">
        <f t="shared" si="51"/>
        <v>#REF!</v>
      </c>
      <c r="BP150" s="688" t="s">
        <v>604</v>
      </c>
      <c r="BQ150" s="683"/>
      <c r="BR150" s="688" t="s">
        <v>155</v>
      </c>
      <c r="BS150" s="683"/>
      <c r="BT150" s="686" t="s">
        <v>155</v>
      </c>
      <c r="BU150" s="688" t="s">
        <v>155</v>
      </c>
      <c r="BV150" s="683"/>
      <c r="BW150" s="688" t="s">
        <v>701</v>
      </c>
      <c r="BX150" s="682"/>
      <c r="BY150" s="683"/>
    </row>
    <row r="151">
      <c r="A151" s="680">
        <f t="shared" si="15"/>
        <v>24</v>
      </c>
      <c r="B151" s="681" t="s">
        <v>703</v>
      </c>
      <c r="C151" s="682"/>
      <c r="D151" s="682"/>
      <c r="E151" s="682"/>
      <c r="F151" s="683"/>
      <c r="G151" s="681" t="s">
        <v>562</v>
      </c>
      <c r="H151" s="682"/>
      <c r="I151" s="682"/>
      <c r="J151" s="682"/>
      <c r="K151" s="683"/>
      <c r="L151" s="681">
        <v>10.0</v>
      </c>
      <c r="M151" s="682"/>
      <c r="N151" s="682"/>
      <c r="O151" s="682"/>
      <c r="P151" s="683"/>
      <c r="Q151" s="685">
        <v>4.0</v>
      </c>
      <c r="R151" s="685">
        <v>5.0</v>
      </c>
      <c r="S151" s="685">
        <v>7.0</v>
      </c>
      <c r="T151" s="685">
        <v>9.0</v>
      </c>
      <c r="U151" s="685">
        <v>11.0</v>
      </c>
      <c r="V151" s="685">
        <v>14.0</v>
      </c>
      <c r="W151" s="685">
        <v>14.0</v>
      </c>
      <c r="X151" s="685">
        <v>14.0</v>
      </c>
      <c r="Y151" s="685">
        <v>10.0</v>
      </c>
      <c r="Z151" s="685">
        <v>12.0</v>
      </c>
      <c r="AA151" s="685">
        <v>10.0</v>
      </c>
      <c r="AB151" s="689" t="s">
        <v>576</v>
      </c>
      <c r="AC151" s="689" t="s">
        <v>563</v>
      </c>
      <c r="AD151" s="689" t="s">
        <v>644</v>
      </c>
      <c r="AE151" s="689" t="s">
        <v>644</v>
      </c>
      <c r="AF151" s="689" t="s">
        <v>644</v>
      </c>
      <c r="AG151" s="681" t="str">
        <f t="shared" si="53"/>
        <v>#REF!</v>
      </c>
      <c r="AH151" s="682"/>
      <c r="AI151" s="682"/>
      <c r="AJ151" s="682"/>
      <c r="AK151" s="683"/>
      <c r="AL151" s="681" t="str">
        <f t="shared" si="34"/>
        <v>#REF!</v>
      </c>
      <c r="AM151" s="682"/>
      <c r="AN151" s="682"/>
      <c r="AO151" s="682"/>
      <c r="AP151" s="683"/>
      <c r="AQ151" s="689" t="s">
        <v>52</v>
      </c>
      <c r="AR151" s="689" t="s">
        <v>80</v>
      </c>
      <c r="AS151" s="689" t="s">
        <v>100</v>
      </c>
      <c r="AT151" s="690" t="str">
        <f t="shared" ref="AT151:AV151" si="56">rounddown((#REF!-10)/2,0)+Prof</f>
        <v>#REF!</v>
      </c>
      <c r="AU151" s="690" t="str">
        <f t="shared" si="56"/>
        <v>#REF!</v>
      </c>
      <c r="AV151" s="690" t="str">
        <f t="shared" si="56"/>
        <v>#REF!</v>
      </c>
      <c r="AW151" s="685">
        <v>30.0</v>
      </c>
      <c r="AX151" s="685">
        <v>45.0</v>
      </c>
      <c r="AY151" s="685">
        <v>50.0</v>
      </c>
      <c r="AZ151" s="685">
        <v>60.0</v>
      </c>
      <c r="BA151" s="685">
        <v>75.0</v>
      </c>
      <c r="BB151" s="686" t="s">
        <v>66</v>
      </c>
      <c r="BC151" s="686" t="s">
        <v>568</v>
      </c>
      <c r="BD151" s="686" t="s">
        <v>602</v>
      </c>
      <c r="BE151" s="694"/>
      <c r="BF151" s="694"/>
      <c r="BG151" s="694"/>
      <c r="BH151" s="688" t="s">
        <v>699</v>
      </c>
      <c r="BI151" s="682"/>
      <c r="BJ151" s="682"/>
      <c r="BK151" s="682"/>
      <c r="BL151" s="683"/>
      <c r="BM151" s="688" t="s">
        <v>573</v>
      </c>
      <c r="BN151" s="683"/>
      <c r="BO151" s="686" t="str">
        <f t="shared" si="51"/>
        <v>#REF!</v>
      </c>
      <c r="BP151" s="688" t="s">
        <v>604</v>
      </c>
      <c r="BQ151" s="683"/>
      <c r="BR151" s="688" t="s">
        <v>155</v>
      </c>
      <c r="BS151" s="683"/>
      <c r="BT151" s="686" t="s">
        <v>155</v>
      </c>
      <c r="BU151" s="688" t="s">
        <v>155</v>
      </c>
      <c r="BV151" s="683"/>
      <c r="BW151" s="688" t="s">
        <v>701</v>
      </c>
      <c r="BX151" s="682"/>
      <c r="BY151" s="683"/>
    </row>
    <row r="152">
      <c r="A152" s="680">
        <f t="shared" si="15"/>
        <v>25</v>
      </c>
      <c r="B152" s="695"/>
      <c r="C152" s="682"/>
      <c r="D152" s="682"/>
      <c r="E152" s="682"/>
      <c r="F152" s="683"/>
      <c r="G152" s="695"/>
      <c r="H152" s="682"/>
      <c r="I152" s="682"/>
      <c r="J152" s="682"/>
      <c r="K152" s="683"/>
      <c r="L152" s="350"/>
      <c r="M152" s="350"/>
      <c r="N152" s="350"/>
      <c r="O152" s="350"/>
      <c r="P152" s="696"/>
      <c r="Q152" s="694"/>
      <c r="R152" s="694"/>
      <c r="S152" s="694"/>
      <c r="T152" s="694"/>
      <c r="U152" s="694"/>
      <c r="V152" s="694"/>
      <c r="W152" s="694"/>
      <c r="X152" s="694"/>
      <c r="Y152" s="694"/>
      <c r="Z152" s="694"/>
      <c r="AA152" s="694"/>
      <c r="AB152" s="694"/>
      <c r="AC152" s="694"/>
      <c r="AD152" s="694"/>
      <c r="AE152" s="694"/>
      <c r="AF152" s="694"/>
      <c r="AG152" s="695"/>
      <c r="AH152" s="682"/>
      <c r="AI152" s="682"/>
      <c r="AJ152" s="682"/>
      <c r="AK152" s="683"/>
      <c r="AL152" s="695"/>
      <c r="AM152" s="682"/>
      <c r="AN152" s="682"/>
      <c r="AO152" s="682"/>
      <c r="AP152" s="683"/>
      <c r="AQ152" s="694"/>
      <c r="AR152" s="694"/>
      <c r="AS152" s="694"/>
      <c r="AT152" s="694"/>
      <c r="AU152" s="694"/>
      <c r="AV152" s="694"/>
      <c r="AW152" s="694"/>
      <c r="AX152" s="694"/>
      <c r="AY152" s="694"/>
      <c r="AZ152" s="694"/>
      <c r="BA152" s="694"/>
      <c r="BB152" s="694"/>
      <c r="BC152" s="694"/>
      <c r="BD152" s="694"/>
      <c r="BE152" s="694"/>
      <c r="BF152" s="694"/>
      <c r="BG152" s="694"/>
      <c r="BH152" s="695"/>
      <c r="BI152" s="682"/>
      <c r="BJ152" s="682"/>
      <c r="BK152" s="682"/>
      <c r="BL152" s="683"/>
      <c r="BM152" s="695"/>
      <c r="BN152" s="683"/>
      <c r="BO152" s="694"/>
      <c r="BP152" s="695"/>
      <c r="BQ152" s="683"/>
      <c r="BR152" s="695"/>
      <c r="BS152" s="683"/>
      <c r="BT152" s="694"/>
      <c r="BU152" s="695"/>
      <c r="BV152" s="683"/>
      <c r="BW152" s="695"/>
      <c r="BX152" s="682"/>
      <c r="BY152" s="683"/>
    </row>
    <row r="153">
      <c r="A153" s="697"/>
      <c r="B153" s="7"/>
      <c r="C153" s="7"/>
      <c r="D153" s="7"/>
      <c r="E153" s="7"/>
      <c r="F153" s="5"/>
      <c r="G153" s="697"/>
      <c r="H153" s="5"/>
      <c r="I153" s="697"/>
      <c r="J153" s="5"/>
      <c r="K153" s="697"/>
      <c r="L153" s="7"/>
      <c r="M153" s="7"/>
      <c r="N153" s="5"/>
      <c r="O153" s="697"/>
      <c r="P153" s="7"/>
      <c r="Q153" s="7"/>
      <c r="R153" s="5"/>
      <c r="S153" s="697"/>
      <c r="T153" s="7"/>
      <c r="U153" s="7"/>
      <c r="V153" s="7"/>
      <c r="W153" s="7"/>
      <c r="X153" s="5"/>
      <c r="Y153" s="698"/>
      <c r="Z153" s="7"/>
      <c r="AA153" s="7"/>
      <c r="AB153" s="5"/>
      <c r="AC153" s="697"/>
      <c r="AD153" s="7"/>
      <c r="AE153" s="7"/>
      <c r="AF153" s="7"/>
      <c r="AG153" s="7"/>
      <c r="AH153" s="7"/>
      <c r="AI153" s="7"/>
      <c r="AJ153" s="7"/>
      <c r="AK153" s="7"/>
      <c r="AL153" s="5"/>
      <c r="AM153" s="699"/>
      <c r="AN153" s="5"/>
      <c r="AO153" s="699"/>
      <c r="AP153" s="5"/>
      <c r="AQ153" s="699"/>
      <c r="AR153" s="5"/>
      <c r="AS153" s="699"/>
      <c r="AT153" s="5"/>
      <c r="AU153" s="699"/>
      <c r="AV153" s="5"/>
      <c r="AW153" s="699"/>
      <c r="AX153" s="5"/>
      <c r="AY153" s="700"/>
      <c r="AZ153" s="5"/>
      <c r="BA153" s="697"/>
      <c r="BB153" s="5"/>
      <c r="BC153" s="350"/>
      <c r="BD153" s="350"/>
      <c r="BE153" s="350"/>
      <c r="BF153" s="350"/>
      <c r="BG153" s="350"/>
      <c r="BH153" s="350"/>
      <c r="BI153" s="350"/>
      <c r="BJ153" s="350"/>
      <c r="BK153" s="350"/>
      <c r="BL153" s="350"/>
      <c r="BM153" s="350"/>
      <c r="BN153" s="350"/>
      <c r="BO153" s="350"/>
      <c r="BP153" s="350"/>
      <c r="BQ153" s="350"/>
      <c r="BR153" s="350"/>
      <c r="BS153" s="350"/>
      <c r="BT153" s="350"/>
      <c r="BU153" s="350"/>
      <c r="BV153" s="350"/>
      <c r="BW153" s="350"/>
      <c r="BX153" s="350"/>
      <c r="BY153" s="350"/>
    </row>
    <row r="154">
      <c r="A154" s="697"/>
      <c r="B154" s="7"/>
      <c r="C154" s="7"/>
      <c r="D154" s="7"/>
      <c r="E154" s="7"/>
      <c r="F154" s="5"/>
      <c r="G154" s="697"/>
      <c r="H154" s="5"/>
      <c r="I154" s="697"/>
      <c r="J154" s="5"/>
      <c r="K154" s="697"/>
      <c r="L154" s="7"/>
      <c r="M154" s="7"/>
      <c r="N154" s="5"/>
      <c r="O154" s="697"/>
      <c r="P154" s="7"/>
      <c r="Q154" s="7"/>
      <c r="R154" s="5"/>
      <c r="S154" s="697"/>
      <c r="T154" s="7"/>
      <c r="U154" s="7"/>
      <c r="V154" s="7"/>
      <c r="W154" s="7"/>
      <c r="X154" s="5"/>
      <c r="Y154" s="698"/>
      <c r="Z154" s="7"/>
      <c r="AA154" s="7"/>
      <c r="AB154" s="5"/>
      <c r="AC154" s="697"/>
      <c r="AD154" s="7"/>
      <c r="AE154" s="7"/>
      <c r="AF154" s="7"/>
      <c r="AG154" s="7"/>
      <c r="AH154" s="7"/>
      <c r="AI154" s="7"/>
      <c r="AJ154" s="7"/>
      <c r="AK154" s="7"/>
      <c r="AL154" s="5"/>
      <c r="AM154" s="699"/>
      <c r="AN154" s="5"/>
      <c r="AO154" s="699"/>
      <c r="AP154" s="5"/>
      <c r="AQ154" s="699"/>
      <c r="AR154" s="5"/>
      <c r="AS154" s="699"/>
      <c r="AT154" s="5"/>
      <c r="AU154" s="699"/>
      <c r="AV154" s="5"/>
      <c r="AW154" s="699"/>
      <c r="AX154" s="5"/>
      <c r="AY154" s="700"/>
      <c r="AZ154" s="5"/>
      <c r="BA154" s="697"/>
      <c r="BB154" s="5"/>
      <c r="BC154" s="350"/>
      <c r="BD154" s="350"/>
      <c r="BE154" s="350"/>
      <c r="BF154" s="350"/>
      <c r="BG154" s="350"/>
      <c r="BH154" s="350"/>
      <c r="BI154" s="350"/>
      <c r="BJ154" s="350"/>
      <c r="BK154" s="350"/>
      <c r="BL154" s="350"/>
      <c r="BM154" s="350"/>
      <c r="BN154" s="350"/>
      <c r="BO154" s="350"/>
      <c r="BP154" s="350"/>
      <c r="BQ154" s="350"/>
      <c r="BR154" s="350"/>
      <c r="BS154" s="350"/>
      <c r="BT154" s="350"/>
      <c r="BU154" s="350"/>
      <c r="BV154" s="350"/>
      <c r="BW154" s="350"/>
      <c r="BX154" s="350"/>
      <c r="BY154" s="350"/>
    </row>
    <row r="155">
      <c r="A155" s="697"/>
      <c r="B155" s="7"/>
      <c r="C155" s="7"/>
      <c r="D155" s="7"/>
      <c r="E155" s="7"/>
      <c r="F155" s="5"/>
      <c r="G155" s="697"/>
      <c r="H155" s="5"/>
      <c r="I155" s="697"/>
      <c r="J155" s="5"/>
      <c r="K155" s="697"/>
      <c r="L155" s="7"/>
      <c r="M155" s="7"/>
      <c r="N155" s="5"/>
      <c r="O155" s="697"/>
      <c r="P155" s="7"/>
      <c r="Q155" s="7"/>
      <c r="R155" s="5"/>
      <c r="S155" s="697"/>
      <c r="T155" s="7"/>
      <c r="U155" s="7"/>
      <c r="V155" s="7"/>
      <c r="W155" s="7"/>
      <c r="X155" s="5"/>
      <c r="Y155" s="698"/>
      <c r="Z155" s="7"/>
      <c r="AA155" s="7"/>
      <c r="AB155" s="5"/>
      <c r="AC155" s="697"/>
      <c r="AD155" s="7"/>
      <c r="AE155" s="7"/>
      <c r="AF155" s="7"/>
      <c r="AG155" s="7"/>
      <c r="AH155" s="7"/>
      <c r="AI155" s="7"/>
      <c r="AJ155" s="7"/>
      <c r="AK155" s="7"/>
      <c r="AL155" s="5"/>
      <c r="AM155" s="699"/>
      <c r="AN155" s="5"/>
      <c r="AO155" s="699"/>
      <c r="AP155" s="5"/>
      <c r="AQ155" s="699"/>
      <c r="AR155" s="5"/>
      <c r="AS155" s="699"/>
      <c r="AT155" s="5"/>
      <c r="AU155" s="699"/>
      <c r="AV155" s="5"/>
      <c r="AW155" s="699"/>
      <c r="AX155" s="5"/>
      <c r="AY155" s="700"/>
      <c r="AZ155" s="5"/>
      <c r="BA155" s="697"/>
      <c r="BB155" s="5"/>
      <c r="BC155" s="350"/>
      <c r="BD155" s="350"/>
      <c r="BE155" s="350"/>
      <c r="BF155" s="350"/>
      <c r="BG155" s="350"/>
      <c r="BH155" s="350"/>
      <c r="BI155" s="350"/>
      <c r="BJ155" s="350"/>
      <c r="BK155" s="350"/>
      <c r="BL155" s="350"/>
      <c r="BM155" s="350"/>
      <c r="BN155" s="350"/>
      <c r="BO155" s="350"/>
      <c r="BP155" s="350"/>
      <c r="BQ155" s="350"/>
      <c r="BR155" s="350"/>
      <c r="BS155" s="350"/>
      <c r="BT155" s="350"/>
      <c r="BU155" s="350"/>
      <c r="BV155" s="350"/>
      <c r="BW155" s="350"/>
      <c r="BX155" s="350"/>
      <c r="BY155" s="350"/>
    </row>
    <row r="156">
      <c r="A156" s="697"/>
      <c r="B156" s="7"/>
      <c r="C156" s="7"/>
      <c r="D156" s="7"/>
      <c r="E156" s="7"/>
      <c r="F156" s="5"/>
      <c r="G156" s="697"/>
      <c r="H156" s="5"/>
      <c r="I156" s="697"/>
      <c r="J156" s="5"/>
      <c r="K156" s="697"/>
      <c r="L156" s="7"/>
      <c r="M156" s="7"/>
      <c r="N156" s="5"/>
      <c r="O156" s="697"/>
      <c r="P156" s="7"/>
      <c r="Q156" s="7"/>
      <c r="R156" s="5"/>
      <c r="S156" s="697"/>
      <c r="T156" s="7"/>
      <c r="U156" s="7"/>
      <c r="V156" s="7"/>
      <c r="W156" s="7"/>
      <c r="X156" s="5"/>
      <c r="Y156" s="698"/>
      <c r="Z156" s="7"/>
      <c r="AA156" s="7"/>
      <c r="AB156" s="5"/>
      <c r="AC156" s="697"/>
      <c r="AD156" s="7"/>
      <c r="AE156" s="7"/>
      <c r="AF156" s="7"/>
      <c r="AG156" s="7"/>
      <c r="AH156" s="7"/>
      <c r="AI156" s="7"/>
      <c r="AJ156" s="7"/>
      <c r="AK156" s="7"/>
      <c r="AL156" s="5"/>
      <c r="AM156" s="699"/>
      <c r="AN156" s="5"/>
      <c r="AO156" s="699"/>
      <c r="AP156" s="5"/>
      <c r="AQ156" s="699"/>
      <c r="AR156" s="5"/>
      <c r="AS156" s="699"/>
      <c r="AT156" s="5"/>
      <c r="AU156" s="699"/>
      <c r="AV156" s="5"/>
      <c r="AW156" s="699"/>
      <c r="AX156" s="5"/>
      <c r="AY156" s="700"/>
      <c r="AZ156" s="5"/>
      <c r="BA156" s="697"/>
      <c r="BB156" s="5"/>
      <c r="BC156" s="350"/>
      <c r="BD156" s="350"/>
      <c r="BE156" s="350"/>
      <c r="BF156" s="350"/>
      <c r="BG156" s="350"/>
      <c r="BH156" s="350"/>
      <c r="BI156" s="350"/>
      <c r="BJ156" s="350"/>
      <c r="BK156" s="350"/>
      <c r="BL156" s="350"/>
      <c r="BM156" s="350"/>
      <c r="BN156" s="350"/>
      <c r="BO156" s="350"/>
      <c r="BP156" s="350"/>
      <c r="BQ156" s="350"/>
      <c r="BR156" s="350"/>
      <c r="BS156" s="350"/>
      <c r="BT156" s="350"/>
      <c r="BU156" s="350"/>
      <c r="BV156" s="350"/>
      <c r="BW156" s="350"/>
      <c r="BX156" s="350"/>
      <c r="BY156" s="350"/>
    </row>
    <row r="157">
      <c r="A157" s="697"/>
      <c r="B157" s="7"/>
      <c r="C157" s="7"/>
      <c r="D157" s="7"/>
      <c r="E157" s="7"/>
      <c r="F157" s="5"/>
      <c r="G157" s="697"/>
      <c r="H157" s="5"/>
      <c r="I157" s="697"/>
      <c r="J157" s="5"/>
      <c r="K157" s="697"/>
      <c r="L157" s="7"/>
      <c r="M157" s="7"/>
      <c r="N157" s="5"/>
      <c r="O157" s="697"/>
      <c r="P157" s="7"/>
      <c r="Q157" s="7"/>
      <c r="R157" s="5"/>
      <c r="S157" s="697"/>
      <c r="T157" s="7"/>
      <c r="U157" s="7"/>
      <c r="V157" s="7"/>
      <c r="W157" s="7"/>
      <c r="X157" s="5"/>
      <c r="Y157" s="698"/>
      <c r="Z157" s="7"/>
      <c r="AA157" s="7"/>
      <c r="AB157" s="5"/>
      <c r="AC157" s="697"/>
      <c r="AD157" s="7"/>
      <c r="AE157" s="7"/>
      <c r="AF157" s="7"/>
      <c r="AG157" s="7"/>
      <c r="AH157" s="7"/>
      <c r="AI157" s="7"/>
      <c r="AJ157" s="7"/>
      <c r="AK157" s="7"/>
      <c r="AL157" s="5"/>
      <c r="AM157" s="699"/>
      <c r="AN157" s="5"/>
      <c r="AO157" s="699"/>
      <c r="AP157" s="5"/>
      <c r="AQ157" s="699"/>
      <c r="AR157" s="5"/>
      <c r="AS157" s="699"/>
      <c r="AT157" s="5"/>
      <c r="AU157" s="699"/>
      <c r="AV157" s="5"/>
      <c r="AW157" s="699"/>
      <c r="AX157" s="5"/>
      <c r="AY157" s="700"/>
      <c r="AZ157" s="5"/>
      <c r="BA157" s="697"/>
      <c r="BB157" s="5"/>
      <c r="BC157" s="350"/>
      <c r="BD157" s="350"/>
      <c r="BE157" s="350"/>
      <c r="BF157" s="350"/>
      <c r="BG157" s="350"/>
      <c r="BH157" s="350"/>
      <c r="BI157" s="350"/>
      <c r="BJ157" s="350"/>
      <c r="BK157" s="350"/>
      <c r="BL157" s="350"/>
      <c r="BM157" s="350"/>
      <c r="BN157" s="350"/>
      <c r="BO157" s="350"/>
      <c r="BP157" s="350"/>
      <c r="BQ157" s="350"/>
      <c r="BR157" s="350"/>
      <c r="BS157" s="350"/>
      <c r="BT157" s="350"/>
      <c r="BU157" s="350"/>
      <c r="BV157" s="350"/>
      <c r="BW157" s="350"/>
      <c r="BX157" s="350"/>
      <c r="BY157" s="350"/>
    </row>
    <row r="158">
      <c r="A158" s="697"/>
      <c r="B158" s="7"/>
      <c r="C158" s="7"/>
      <c r="D158" s="7"/>
      <c r="E158" s="7"/>
      <c r="F158" s="5"/>
      <c r="G158" s="697"/>
      <c r="H158" s="5"/>
      <c r="I158" s="697"/>
      <c r="J158" s="5"/>
      <c r="K158" s="697"/>
      <c r="L158" s="7"/>
      <c r="M158" s="7"/>
      <c r="N158" s="5"/>
      <c r="O158" s="697"/>
      <c r="P158" s="7"/>
      <c r="Q158" s="7"/>
      <c r="R158" s="5"/>
      <c r="S158" s="697"/>
      <c r="T158" s="7"/>
      <c r="U158" s="7"/>
      <c r="V158" s="7"/>
      <c r="W158" s="7"/>
      <c r="X158" s="5"/>
      <c r="Y158" s="698"/>
      <c r="Z158" s="7"/>
      <c r="AA158" s="7"/>
      <c r="AB158" s="5"/>
      <c r="AC158" s="697"/>
      <c r="AD158" s="7"/>
      <c r="AE158" s="7"/>
      <c r="AF158" s="7"/>
      <c r="AG158" s="7"/>
      <c r="AH158" s="7"/>
      <c r="AI158" s="7"/>
      <c r="AJ158" s="7"/>
      <c r="AK158" s="7"/>
      <c r="AL158" s="5"/>
      <c r="AM158" s="699"/>
      <c r="AN158" s="5"/>
      <c r="AO158" s="699"/>
      <c r="AP158" s="5"/>
      <c r="AQ158" s="699"/>
      <c r="AR158" s="5"/>
      <c r="AS158" s="699"/>
      <c r="AT158" s="5"/>
      <c r="AU158" s="699"/>
      <c r="AV158" s="5"/>
      <c r="AW158" s="699"/>
      <c r="AX158" s="5"/>
      <c r="AY158" s="700"/>
      <c r="AZ158" s="5"/>
      <c r="BA158" s="697"/>
      <c r="BB158" s="5"/>
      <c r="BC158" s="350"/>
      <c r="BD158" s="350"/>
      <c r="BE158" s="350"/>
      <c r="BF158" s="350"/>
      <c r="BG158" s="350"/>
      <c r="BH158" s="350"/>
      <c r="BI158" s="350"/>
      <c r="BJ158" s="350"/>
      <c r="BK158" s="350"/>
      <c r="BL158" s="350"/>
      <c r="BM158" s="350"/>
      <c r="BN158" s="350"/>
      <c r="BO158" s="350"/>
      <c r="BP158" s="350"/>
      <c r="BQ158" s="350"/>
      <c r="BR158" s="350"/>
      <c r="BS158" s="350"/>
      <c r="BT158" s="350"/>
      <c r="BU158" s="350"/>
      <c r="BV158" s="350"/>
      <c r="BW158" s="350"/>
      <c r="BX158" s="350"/>
      <c r="BY158" s="350"/>
    </row>
    <row r="159">
      <c r="A159" s="697"/>
      <c r="B159" s="7"/>
      <c r="C159" s="7"/>
      <c r="D159" s="7"/>
      <c r="E159" s="7"/>
      <c r="F159" s="5"/>
      <c r="G159" s="697"/>
      <c r="H159" s="5"/>
      <c r="I159" s="697"/>
      <c r="J159" s="5"/>
      <c r="K159" s="697"/>
      <c r="L159" s="7"/>
      <c r="M159" s="7"/>
      <c r="N159" s="5"/>
      <c r="O159" s="697"/>
      <c r="P159" s="7"/>
      <c r="Q159" s="7"/>
      <c r="R159" s="5"/>
      <c r="S159" s="697"/>
      <c r="T159" s="7"/>
      <c r="U159" s="7"/>
      <c r="V159" s="7"/>
      <c r="W159" s="7"/>
      <c r="X159" s="5"/>
      <c r="Y159" s="698"/>
      <c r="Z159" s="7"/>
      <c r="AA159" s="7"/>
      <c r="AB159" s="5"/>
      <c r="AC159" s="697"/>
      <c r="AD159" s="7"/>
      <c r="AE159" s="7"/>
      <c r="AF159" s="7"/>
      <c r="AG159" s="7"/>
      <c r="AH159" s="7"/>
      <c r="AI159" s="7"/>
      <c r="AJ159" s="7"/>
      <c r="AK159" s="7"/>
      <c r="AL159" s="5"/>
      <c r="AM159" s="699"/>
      <c r="AN159" s="5"/>
      <c r="AO159" s="699"/>
      <c r="AP159" s="5"/>
      <c r="AQ159" s="699"/>
      <c r="AR159" s="5"/>
      <c r="AS159" s="699"/>
      <c r="AT159" s="5"/>
      <c r="AU159" s="699"/>
      <c r="AV159" s="5"/>
      <c r="AW159" s="699"/>
      <c r="AX159" s="5"/>
      <c r="AY159" s="700"/>
      <c r="AZ159" s="5"/>
      <c r="BA159" s="697"/>
      <c r="BB159" s="5"/>
      <c r="BC159" s="350"/>
      <c r="BD159" s="350"/>
      <c r="BE159" s="350"/>
      <c r="BF159" s="350"/>
      <c r="BG159" s="350"/>
      <c r="BH159" s="350"/>
      <c r="BI159" s="350"/>
      <c r="BJ159" s="350"/>
      <c r="BK159" s="350"/>
      <c r="BL159" s="350"/>
      <c r="BM159" s="350"/>
      <c r="BN159" s="350"/>
      <c r="BO159" s="350"/>
      <c r="BP159" s="350"/>
      <c r="BQ159" s="350"/>
      <c r="BR159" s="350"/>
      <c r="BS159" s="350"/>
      <c r="BT159" s="350"/>
      <c r="BU159" s="350"/>
      <c r="BV159" s="350"/>
      <c r="BW159" s="350"/>
      <c r="BX159" s="350"/>
      <c r="BY159" s="350"/>
    </row>
    <row r="160">
      <c r="A160" s="697"/>
      <c r="B160" s="7"/>
      <c r="C160" s="7"/>
      <c r="D160" s="7"/>
      <c r="E160" s="7"/>
      <c r="F160" s="5"/>
      <c r="G160" s="697"/>
      <c r="H160" s="5"/>
      <c r="I160" s="697"/>
      <c r="J160" s="5"/>
      <c r="K160" s="697"/>
      <c r="L160" s="7"/>
      <c r="M160" s="7"/>
      <c r="N160" s="5"/>
      <c r="O160" s="697"/>
      <c r="P160" s="7"/>
      <c r="Q160" s="7"/>
      <c r="R160" s="5"/>
      <c r="S160" s="697"/>
      <c r="T160" s="7"/>
      <c r="U160" s="7"/>
      <c r="V160" s="7"/>
      <c r="W160" s="7"/>
      <c r="X160" s="5"/>
      <c r="Y160" s="698"/>
      <c r="Z160" s="7"/>
      <c r="AA160" s="7"/>
      <c r="AB160" s="5"/>
      <c r="AC160" s="697"/>
      <c r="AD160" s="7"/>
      <c r="AE160" s="7"/>
      <c r="AF160" s="7"/>
      <c r="AG160" s="7"/>
      <c r="AH160" s="7"/>
      <c r="AI160" s="7"/>
      <c r="AJ160" s="7"/>
      <c r="AK160" s="7"/>
      <c r="AL160" s="5"/>
      <c r="AM160" s="699"/>
      <c r="AN160" s="5"/>
      <c r="AO160" s="699"/>
      <c r="AP160" s="5"/>
      <c r="AQ160" s="699"/>
      <c r="AR160" s="5"/>
      <c r="AS160" s="699"/>
      <c r="AT160" s="5"/>
      <c r="AU160" s="699"/>
      <c r="AV160" s="5"/>
      <c r="AW160" s="699"/>
      <c r="AX160" s="5"/>
      <c r="AY160" s="700"/>
      <c r="AZ160" s="5"/>
      <c r="BA160" s="697"/>
      <c r="BB160" s="5"/>
      <c r="BC160" s="350"/>
      <c r="BD160" s="350"/>
      <c r="BE160" s="350"/>
      <c r="BF160" s="350"/>
      <c r="BG160" s="350"/>
      <c r="BH160" s="350"/>
      <c r="BI160" s="350"/>
      <c r="BJ160" s="350"/>
      <c r="BK160" s="350"/>
      <c r="BL160" s="350"/>
      <c r="BM160" s="350"/>
      <c r="BN160" s="350"/>
      <c r="BO160" s="350"/>
      <c r="BP160" s="350"/>
      <c r="BQ160" s="350"/>
      <c r="BR160" s="350"/>
      <c r="BS160" s="350"/>
      <c r="BT160" s="350"/>
      <c r="BU160" s="350"/>
      <c r="BV160" s="350"/>
      <c r="BW160" s="350"/>
      <c r="BX160" s="350"/>
      <c r="BY160" s="350"/>
    </row>
    <row r="161">
      <c r="A161" s="697"/>
      <c r="B161" s="7"/>
      <c r="C161" s="7"/>
      <c r="D161" s="7"/>
      <c r="E161" s="7"/>
      <c r="F161" s="5"/>
      <c r="G161" s="697"/>
      <c r="H161" s="5"/>
      <c r="I161" s="697"/>
      <c r="J161" s="5"/>
      <c r="K161" s="697"/>
      <c r="L161" s="7"/>
      <c r="M161" s="7"/>
      <c r="N161" s="5"/>
      <c r="O161" s="697"/>
      <c r="P161" s="7"/>
      <c r="Q161" s="7"/>
      <c r="R161" s="5"/>
      <c r="S161" s="697"/>
      <c r="T161" s="7"/>
      <c r="U161" s="7"/>
      <c r="V161" s="7"/>
      <c r="W161" s="7"/>
      <c r="X161" s="5"/>
      <c r="Y161" s="698"/>
      <c r="Z161" s="7"/>
      <c r="AA161" s="7"/>
      <c r="AB161" s="5"/>
      <c r="AC161" s="697"/>
      <c r="AD161" s="7"/>
      <c r="AE161" s="7"/>
      <c r="AF161" s="7"/>
      <c r="AG161" s="7"/>
      <c r="AH161" s="7"/>
      <c r="AI161" s="7"/>
      <c r="AJ161" s="7"/>
      <c r="AK161" s="7"/>
      <c r="AL161" s="5"/>
      <c r="AM161" s="699"/>
      <c r="AN161" s="5"/>
      <c r="AO161" s="699"/>
      <c r="AP161" s="5"/>
      <c r="AQ161" s="699"/>
      <c r="AR161" s="5"/>
      <c r="AS161" s="699"/>
      <c r="AT161" s="5"/>
      <c r="AU161" s="699"/>
      <c r="AV161" s="5"/>
      <c r="AW161" s="699"/>
      <c r="AX161" s="5"/>
      <c r="AY161" s="700"/>
      <c r="AZ161" s="5"/>
      <c r="BA161" s="697"/>
      <c r="BB161" s="5"/>
      <c r="BC161" s="350"/>
      <c r="BD161" s="350"/>
      <c r="BE161" s="350"/>
      <c r="BF161" s="350"/>
      <c r="BG161" s="350"/>
      <c r="BH161" s="350"/>
      <c r="BI161" s="350"/>
      <c r="BJ161" s="350"/>
      <c r="BK161" s="350"/>
      <c r="BL161" s="350"/>
      <c r="BM161" s="350"/>
      <c r="BN161" s="350"/>
      <c r="BO161" s="350"/>
      <c r="BP161" s="350"/>
      <c r="BQ161" s="350"/>
      <c r="BR161" s="350"/>
      <c r="BS161" s="350"/>
      <c r="BT161" s="350"/>
      <c r="BU161" s="350"/>
      <c r="BV161" s="350"/>
      <c r="BW161" s="350"/>
      <c r="BX161" s="350"/>
      <c r="BY161" s="350"/>
    </row>
    <row r="162">
      <c r="A162" s="697"/>
      <c r="B162" s="7"/>
      <c r="C162" s="7"/>
      <c r="D162" s="7"/>
      <c r="E162" s="7"/>
      <c r="F162" s="5"/>
      <c r="G162" s="697"/>
      <c r="H162" s="5"/>
      <c r="I162" s="697"/>
      <c r="J162" s="5"/>
      <c r="K162" s="697"/>
      <c r="L162" s="7"/>
      <c r="M162" s="7"/>
      <c r="N162" s="5"/>
      <c r="O162" s="697"/>
      <c r="P162" s="7"/>
      <c r="Q162" s="7"/>
      <c r="R162" s="5"/>
      <c r="S162" s="697"/>
      <c r="T162" s="7"/>
      <c r="U162" s="7"/>
      <c r="V162" s="7"/>
      <c r="W162" s="7"/>
      <c r="X162" s="5"/>
      <c r="Y162" s="698"/>
      <c r="Z162" s="7"/>
      <c r="AA162" s="7"/>
      <c r="AB162" s="5"/>
      <c r="AC162" s="697"/>
      <c r="AD162" s="7"/>
      <c r="AE162" s="7"/>
      <c r="AF162" s="7"/>
      <c r="AG162" s="7"/>
      <c r="AH162" s="7"/>
      <c r="AI162" s="7"/>
      <c r="AJ162" s="7"/>
      <c r="AK162" s="7"/>
      <c r="AL162" s="5"/>
      <c r="AM162" s="699"/>
      <c r="AN162" s="5"/>
      <c r="AO162" s="699"/>
      <c r="AP162" s="5"/>
      <c r="AQ162" s="699"/>
      <c r="AR162" s="5"/>
      <c r="AS162" s="699"/>
      <c r="AT162" s="5"/>
      <c r="AU162" s="699"/>
      <c r="AV162" s="5"/>
      <c r="AW162" s="699"/>
      <c r="AX162" s="5"/>
      <c r="AY162" s="700"/>
      <c r="AZ162" s="5"/>
      <c r="BA162" s="697"/>
      <c r="BB162" s="5"/>
      <c r="BC162" s="350"/>
      <c r="BD162" s="350"/>
      <c r="BE162" s="350"/>
      <c r="BF162" s="350"/>
      <c r="BG162" s="350"/>
      <c r="BH162" s="350"/>
      <c r="BI162" s="350"/>
      <c r="BJ162" s="350"/>
      <c r="BK162" s="350"/>
      <c r="BL162" s="350"/>
      <c r="BM162" s="350"/>
      <c r="BN162" s="350"/>
      <c r="BO162" s="350"/>
      <c r="BP162" s="350"/>
      <c r="BQ162" s="350"/>
      <c r="BR162" s="350"/>
      <c r="BS162" s="350"/>
      <c r="BT162" s="350"/>
      <c r="BU162" s="350"/>
      <c r="BV162" s="350"/>
      <c r="BW162" s="350"/>
      <c r="BX162" s="350"/>
      <c r="BY162" s="350"/>
    </row>
    <row r="163">
      <c r="A163" s="697"/>
      <c r="B163" s="7"/>
      <c r="C163" s="7"/>
      <c r="D163" s="7"/>
      <c r="E163" s="7"/>
      <c r="F163" s="5"/>
      <c r="G163" s="697"/>
      <c r="H163" s="5"/>
      <c r="I163" s="697"/>
      <c r="J163" s="5"/>
      <c r="K163" s="697"/>
      <c r="L163" s="7"/>
      <c r="M163" s="7"/>
      <c r="N163" s="5"/>
      <c r="O163" s="697"/>
      <c r="P163" s="7"/>
      <c r="Q163" s="7"/>
      <c r="R163" s="5"/>
      <c r="S163" s="697"/>
      <c r="T163" s="7"/>
      <c r="U163" s="7"/>
      <c r="V163" s="7"/>
      <c r="W163" s="7"/>
      <c r="X163" s="5"/>
      <c r="Y163" s="698"/>
      <c r="Z163" s="7"/>
      <c r="AA163" s="7"/>
      <c r="AB163" s="5"/>
      <c r="AC163" s="697"/>
      <c r="AD163" s="7"/>
      <c r="AE163" s="7"/>
      <c r="AF163" s="7"/>
      <c r="AG163" s="7"/>
      <c r="AH163" s="7"/>
      <c r="AI163" s="7"/>
      <c r="AJ163" s="7"/>
      <c r="AK163" s="7"/>
      <c r="AL163" s="5"/>
      <c r="AM163" s="699"/>
      <c r="AN163" s="5"/>
      <c r="AO163" s="699"/>
      <c r="AP163" s="5"/>
      <c r="AQ163" s="699"/>
      <c r="AR163" s="5"/>
      <c r="AS163" s="699"/>
      <c r="AT163" s="5"/>
      <c r="AU163" s="699"/>
      <c r="AV163" s="5"/>
      <c r="AW163" s="699"/>
      <c r="AX163" s="5"/>
      <c r="AY163" s="700"/>
      <c r="AZ163" s="5"/>
      <c r="BA163" s="697"/>
      <c r="BB163" s="5"/>
      <c r="BC163" s="350"/>
      <c r="BD163" s="350"/>
      <c r="BE163" s="350"/>
      <c r="BF163" s="350"/>
      <c r="BG163" s="350"/>
      <c r="BH163" s="350"/>
      <c r="BI163" s="350"/>
      <c r="BJ163" s="350"/>
      <c r="BK163" s="350"/>
      <c r="BL163" s="350"/>
      <c r="BM163" s="350"/>
      <c r="BN163" s="350"/>
      <c r="BO163" s="350"/>
      <c r="BP163" s="350"/>
      <c r="BQ163" s="350"/>
      <c r="BR163" s="350"/>
      <c r="BS163" s="350"/>
      <c r="BT163" s="350"/>
      <c r="BU163" s="350"/>
      <c r="BV163" s="350"/>
      <c r="BW163" s="350"/>
      <c r="BX163" s="350"/>
      <c r="BY163" s="350"/>
    </row>
    <row r="164">
      <c r="A164" s="646"/>
      <c r="B164" s="646"/>
      <c r="C164" s="646"/>
      <c r="D164" s="646"/>
      <c r="E164" s="646"/>
      <c r="F164" s="646"/>
      <c r="G164" s="350"/>
      <c r="H164" s="350"/>
      <c r="I164" s="350"/>
      <c r="J164" s="350"/>
      <c r="K164" s="350"/>
      <c r="L164" s="350"/>
      <c r="M164" s="350"/>
      <c r="N164" s="350"/>
      <c r="O164" s="350"/>
      <c r="P164" s="350"/>
      <c r="Q164" s="350"/>
      <c r="R164" s="350"/>
      <c r="S164" s="350"/>
      <c r="T164" s="350"/>
      <c r="U164" s="350"/>
      <c r="V164" s="165"/>
      <c r="AH164" s="350"/>
      <c r="AI164" s="350"/>
      <c r="AJ164" s="350"/>
      <c r="AK164" s="350"/>
      <c r="AL164" s="350"/>
      <c r="AM164" s="350"/>
      <c r="AN164" s="350"/>
      <c r="AO164" s="350"/>
      <c r="AP164" s="350"/>
      <c r="AQ164" s="350"/>
      <c r="AR164" s="350"/>
      <c r="AS164" s="350"/>
      <c r="AT164" s="350"/>
      <c r="AU164" s="350"/>
      <c r="AV164" s="350"/>
      <c r="AW164" s="350"/>
      <c r="AX164" s="350"/>
      <c r="AY164" s="350"/>
      <c r="AZ164" s="350"/>
      <c r="BA164" s="350"/>
      <c r="BB164" s="350"/>
      <c r="BC164" s="350"/>
      <c r="BD164" s="350"/>
      <c r="BE164" s="350"/>
      <c r="BF164" s="350"/>
      <c r="BG164" s="350"/>
      <c r="BH164" s="350"/>
      <c r="BI164" s="350"/>
      <c r="BJ164" s="350"/>
      <c r="BK164" s="350"/>
      <c r="BL164" s="350"/>
      <c r="BM164" s="350"/>
      <c r="BN164" s="350"/>
      <c r="BO164" s="350"/>
      <c r="BP164" s="350"/>
      <c r="BQ164" s="350"/>
      <c r="BR164" s="350"/>
      <c r="BS164" s="350"/>
      <c r="BT164" s="350"/>
      <c r="BU164" s="350"/>
      <c r="BV164" s="350"/>
      <c r="BW164" s="350"/>
      <c r="BX164" s="350"/>
      <c r="BY164" s="350"/>
    </row>
    <row r="165">
      <c r="A165" s="701" t="s">
        <v>704</v>
      </c>
      <c r="B165" s="7"/>
      <c r="C165" s="7"/>
      <c r="D165" s="7"/>
      <c r="E165" s="7"/>
      <c r="F165" s="5"/>
      <c r="G165" s="702">
        <v>1.0</v>
      </c>
      <c r="H165" s="702">
        <v>3.0</v>
      </c>
      <c r="I165" s="702">
        <v>5.0</v>
      </c>
      <c r="J165" s="702">
        <v>7.0</v>
      </c>
      <c r="K165" s="702">
        <v>11.0</v>
      </c>
      <c r="L165" s="702">
        <v>15.0</v>
      </c>
      <c r="M165" s="702">
        <v>18.0</v>
      </c>
      <c r="N165" s="703" t="s">
        <v>554</v>
      </c>
      <c r="O165" s="7"/>
      <c r="P165" s="704" t="s">
        <v>705</v>
      </c>
      <c r="Q165" s="7"/>
      <c r="R165" s="7"/>
      <c r="S165" s="7"/>
      <c r="T165" s="5"/>
      <c r="U165" s="705">
        <v>4.0</v>
      </c>
      <c r="V165" s="705">
        <v>7.0</v>
      </c>
      <c r="W165" s="705">
        <v>11.0</v>
      </c>
      <c r="X165" s="705">
        <v>15.0</v>
      </c>
      <c r="Y165" s="705">
        <v>18.0</v>
      </c>
      <c r="Z165" s="704" t="s">
        <v>706</v>
      </c>
      <c r="AA165" s="7"/>
      <c r="AB165" s="7"/>
      <c r="AC165" s="7"/>
      <c r="AD165" s="5"/>
      <c r="AE165" s="705">
        <v>4.0</v>
      </c>
      <c r="AF165" s="705">
        <v>7.0</v>
      </c>
      <c r="AG165" s="705">
        <v>11.0</v>
      </c>
      <c r="AH165" s="705">
        <v>12.0</v>
      </c>
      <c r="AI165" s="705">
        <v>15.0</v>
      </c>
      <c r="AJ165" s="705">
        <v>18.0</v>
      </c>
      <c r="AK165" s="704" t="s">
        <v>707</v>
      </c>
      <c r="AL165" s="7"/>
      <c r="AM165" s="7"/>
      <c r="AN165" s="7"/>
      <c r="AO165" s="5"/>
      <c r="AP165" s="702" t="s">
        <v>708</v>
      </c>
      <c r="AQ165" s="702" t="s">
        <v>709</v>
      </c>
      <c r="AR165" s="706"/>
      <c r="AS165" s="706"/>
      <c r="AT165" s="706"/>
      <c r="AU165" s="706"/>
      <c r="AV165" s="652"/>
      <c r="AW165" s="703" t="s">
        <v>710</v>
      </c>
      <c r="AX165" s="7"/>
      <c r="AY165" s="7"/>
      <c r="AZ165" s="7"/>
      <c r="BA165" s="7"/>
      <c r="BB165" s="5"/>
      <c r="BC165" s="350"/>
      <c r="BD165" s="350"/>
      <c r="BE165" s="350"/>
      <c r="BF165" s="350"/>
      <c r="BG165" s="350"/>
      <c r="BH165" s="350"/>
      <c r="BI165" s="350"/>
      <c r="BJ165" s="350"/>
      <c r="BK165" s="350"/>
      <c r="BL165" s="350"/>
      <c r="BM165" s="350"/>
      <c r="BN165" s="350"/>
      <c r="BO165" s="350"/>
      <c r="BP165" s="350"/>
      <c r="BQ165" s="350"/>
      <c r="BR165" s="350"/>
      <c r="BS165" s="350"/>
      <c r="BT165" s="350"/>
      <c r="BU165" s="350"/>
      <c r="BV165" s="350"/>
      <c r="BW165" s="350"/>
      <c r="BX165" s="350"/>
      <c r="BY165" s="350"/>
    </row>
    <row r="166">
      <c r="A166" s="707" t="s">
        <v>711</v>
      </c>
      <c r="B166" s="7"/>
      <c r="C166" s="7"/>
      <c r="D166" s="7"/>
      <c r="E166" s="7"/>
      <c r="F166" s="5"/>
      <c r="G166" s="708"/>
      <c r="H166" s="708"/>
      <c r="I166" s="709"/>
      <c r="J166" s="708"/>
      <c r="K166" s="710"/>
      <c r="L166" s="708"/>
      <c r="M166" s="708"/>
      <c r="N166" s="711">
        <v>30.0</v>
      </c>
      <c r="O166" s="5"/>
      <c r="P166" s="712"/>
      <c r="Q166" s="7"/>
      <c r="R166" s="7"/>
      <c r="S166" s="7"/>
      <c r="T166" s="5"/>
      <c r="U166" s="713"/>
      <c r="V166" s="714"/>
      <c r="W166" s="714"/>
      <c r="X166" s="714"/>
      <c r="Y166" s="714"/>
      <c r="Z166" s="712"/>
      <c r="AA166" s="7"/>
      <c r="AB166" s="7"/>
      <c r="AC166" s="7"/>
      <c r="AD166" s="5"/>
      <c r="AE166" s="713"/>
      <c r="AF166" s="714"/>
      <c r="AG166" s="714"/>
      <c r="AH166" s="708"/>
      <c r="AI166" s="710"/>
      <c r="AJ166" s="710"/>
      <c r="AK166" s="714"/>
      <c r="AL166" s="714"/>
      <c r="AM166" s="714"/>
      <c r="AN166" s="714"/>
      <c r="AO166" s="714"/>
      <c r="AP166" s="708"/>
      <c r="AQ166" s="708"/>
      <c r="AR166" s="710"/>
      <c r="AS166" s="710"/>
      <c r="AT166" s="710"/>
      <c r="AU166" s="710"/>
      <c r="AV166" s="644"/>
      <c r="AW166" s="715"/>
      <c r="AX166" s="715"/>
      <c r="AY166" s="715"/>
      <c r="AZ166" s="715"/>
      <c r="BA166" s="715"/>
      <c r="BB166" s="715"/>
      <c r="BC166" s="350"/>
      <c r="BD166" s="350"/>
      <c r="BE166" s="350"/>
      <c r="BF166" s="350"/>
      <c r="BG166" s="350"/>
      <c r="BH166" s="350"/>
      <c r="BI166" s="350"/>
      <c r="BJ166" s="350"/>
      <c r="BK166" s="350"/>
      <c r="BL166" s="350"/>
      <c r="BM166" s="350"/>
      <c r="BN166" s="350"/>
      <c r="BO166" s="350"/>
      <c r="BP166" s="350"/>
      <c r="BQ166" s="350"/>
      <c r="BR166" s="350"/>
      <c r="BS166" s="350"/>
      <c r="BT166" s="350"/>
      <c r="BU166" s="350"/>
      <c r="BV166" s="350"/>
      <c r="BW166" s="350"/>
      <c r="BX166" s="350"/>
      <c r="BY166" s="350"/>
    </row>
    <row r="167">
      <c r="A167" s="716" t="s">
        <v>712</v>
      </c>
      <c r="B167" s="7"/>
      <c r="C167" s="7"/>
      <c r="D167" s="7"/>
      <c r="E167" s="7"/>
      <c r="F167" s="5"/>
      <c r="G167" s="708"/>
      <c r="H167" s="708"/>
      <c r="I167" s="709"/>
      <c r="J167" s="708"/>
      <c r="K167" s="710"/>
      <c r="L167" s="708"/>
      <c r="M167" s="708"/>
      <c r="N167" s="711">
        <v>30.0</v>
      </c>
      <c r="O167" s="5"/>
      <c r="P167" s="712"/>
      <c r="Q167" s="7"/>
      <c r="R167" s="7"/>
      <c r="S167" s="7"/>
      <c r="T167" s="5"/>
      <c r="U167" s="713" t="s">
        <v>713</v>
      </c>
      <c r="V167" s="714"/>
      <c r="W167" s="714"/>
      <c r="X167" s="714"/>
      <c r="Y167" s="714"/>
      <c r="Z167" s="712"/>
      <c r="AA167" s="7"/>
      <c r="AB167" s="7"/>
      <c r="AC167" s="7"/>
      <c r="AD167" s="5"/>
      <c r="AE167" s="713" t="s">
        <v>713</v>
      </c>
      <c r="AF167" s="714"/>
      <c r="AG167" s="714"/>
      <c r="AH167" s="708" t="s">
        <v>714</v>
      </c>
      <c r="AI167" s="710"/>
      <c r="AJ167" s="710"/>
      <c r="AK167" s="712"/>
      <c r="AL167" s="7"/>
      <c r="AM167" s="7"/>
      <c r="AN167" s="7"/>
      <c r="AO167" s="5"/>
      <c r="AP167" s="708" t="s">
        <v>715</v>
      </c>
      <c r="AQ167" s="708" t="s">
        <v>716</v>
      </c>
      <c r="AR167" s="710"/>
      <c r="AS167" s="710"/>
      <c r="AT167" s="710"/>
      <c r="AU167" s="710"/>
      <c r="AV167" s="710"/>
      <c r="AW167" s="717" t="s">
        <v>717</v>
      </c>
      <c r="AX167" s="7"/>
      <c r="AY167" s="7"/>
      <c r="AZ167" s="7"/>
      <c r="BA167" s="7"/>
      <c r="BB167" s="5"/>
      <c r="BC167" s="350"/>
      <c r="BD167" s="350"/>
      <c r="BE167" s="350"/>
      <c r="BF167" s="350"/>
      <c r="BG167" s="350"/>
      <c r="BH167" s="350"/>
      <c r="BI167" s="350"/>
      <c r="BJ167" s="350"/>
      <c r="BK167" s="350"/>
      <c r="BL167" s="350"/>
      <c r="BM167" s="350"/>
      <c r="BN167" s="350"/>
      <c r="BO167" s="350"/>
      <c r="BP167" s="350"/>
      <c r="BQ167" s="350"/>
      <c r="BR167" s="350"/>
      <c r="BS167" s="350"/>
      <c r="BT167" s="350"/>
      <c r="BU167" s="350"/>
      <c r="BV167" s="350"/>
      <c r="BW167" s="350"/>
      <c r="BX167" s="350"/>
      <c r="BY167" s="350"/>
    </row>
    <row r="168">
      <c r="A168" s="716" t="s">
        <v>718</v>
      </c>
      <c r="B168" s="7"/>
      <c r="C168" s="7"/>
      <c r="D168" s="7"/>
      <c r="E168" s="7"/>
      <c r="F168" s="5"/>
      <c r="G168" s="708"/>
      <c r="H168" s="708"/>
      <c r="I168" s="709"/>
      <c r="J168" s="708"/>
      <c r="K168" s="710"/>
      <c r="L168" s="710"/>
      <c r="M168" s="710"/>
      <c r="N168" s="711">
        <v>30.0</v>
      </c>
      <c r="O168" s="5"/>
      <c r="P168" s="712"/>
      <c r="Q168" s="7"/>
      <c r="R168" s="7"/>
      <c r="S168" s="7"/>
      <c r="T168" s="5"/>
      <c r="U168" s="713" t="str">
        <f>IF('Info. Personagem'!R[-227]C[17]&lt;7,"Latent Explosion Release",IF('Info. Personagem'!R[-227]C[17]&lt;15,"Latent Explosion Release (2)","Latent Explosion Release (3)" ))</f>
        <v>#ERROR!</v>
      </c>
      <c r="V168" s="714"/>
      <c r="W168" s="714"/>
      <c r="X168" s="714"/>
      <c r="Y168" s="714"/>
      <c r="Z168" s="712"/>
      <c r="AA168" s="7"/>
      <c r="AB168" s="7"/>
      <c r="AC168" s="7"/>
      <c r="AD168" s="5"/>
      <c r="AE168" s="713" t="str">
        <f>IF('Info. Personagem'!R[-227]C[7]&lt;7,"Latent Explosion Release",IF('Info. Personagem'!R[-227]C[7]&lt;15,"Latent Explosion Release (2)","Latent Explosion Release (3)" ))</f>
        <v>#ERROR!</v>
      </c>
      <c r="AF168" s="714"/>
      <c r="AG168" s="714"/>
      <c r="AH168" s="708" t="s">
        <v>719</v>
      </c>
      <c r="AI168" s="710"/>
      <c r="AJ168" s="710"/>
      <c r="AK168" s="712"/>
      <c r="AL168" s="7"/>
      <c r="AM168" s="7"/>
      <c r="AN168" s="7"/>
      <c r="AO168" s="5"/>
      <c r="AP168" s="708" t="s">
        <v>720</v>
      </c>
      <c r="AQ168" s="708" t="s">
        <v>721</v>
      </c>
      <c r="AR168" s="710"/>
      <c r="AS168" s="710"/>
      <c r="AT168" s="710"/>
      <c r="AU168" s="710"/>
      <c r="AV168" s="710"/>
      <c r="AW168" s="717" t="s">
        <v>722</v>
      </c>
      <c r="AX168" s="7"/>
      <c r="AY168" s="7"/>
      <c r="AZ168" s="7"/>
      <c r="BA168" s="7"/>
      <c r="BB168" s="5"/>
      <c r="BC168" s="350"/>
      <c r="BD168" s="350"/>
      <c r="BE168" s="350"/>
      <c r="BF168" s="350"/>
      <c r="BG168" s="350"/>
      <c r="BH168" s="350"/>
      <c r="BI168" s="350"/>
      <c r="BJ168" s="350"/>
      <c r="BK168" s="350"/>
      <c r="BL168" s="350"/>
      <c r="BM168" s="350"/>
      <c r="BN168" s="350"/>
      <c r="BO168" s="350"/>
      <c r="BP168" s="350"/>
      <c r="BQ168" s="350"/>
      <c r="BR168" s="350"/>
      <c r="BS168" s="350"/>
      <c r="BT168" s="350"/>
      <c r="BU168" s="350"/>
      <c r="BV168" s="350"/>
      <c r="BW168" s="350"/>
      <c r="BX168" s="350"/>
      <c r="BY168" s="350"/>
    </row>
    <row r="169">
      <c r="A169" s="716" t="s">
        <v>723</v>
      </c>
      <c r="B169" s="7"/>
      <c r="C169" s="7"/>
      <c r="D169" s="7"/>
      <c r="E169" s="7"/>
      <c r="F169" s="5"/>
      <c r="G169" s="708"/>
      <c r="H169" s="708"/>
      <c r="I169" s="709"/>
      <c r="J169" s="708"/>
      <c r="K169" s="708"/>
      <c r="L169" s="710"/>
      <c r="M169" s="710"/>
      <c r="N169" s="711">
        <v>30.0</v>
      </c>
      <c r="O169" s="5"/>
      <c r="P169" s="712"/>
      <c r="Q169" s="7"/>
      <c r="R169" s="7"/>
      <c r="S169" s="7"/>
      <c r="T169" s="5"/>
      <c r="U169" s="713" t="str">
        <f>IF('Info. Personagem'!R[-228]C[17]&lt;11,"Latent Accuracy",IF('Info. Personagem'!R[-228]C[17]&lt;18,"Latent Accuracy (2)","Latent Accuracy (3)" ))&amp;",Working the Angles"</f>
        <v>#ERROR!</v>
      </c>
      <c r="V169" s="714"/>
      <c r="W169" s="714"/>
      <c r="X169" s="714"/>
      <c r="Y169" s="714"/>
      <c r="Z169" s="712"/>
      <c r="AA169" s="7"/>
      <c r="AB169" s="7"/>
      <c r="AC169" s="7"/>
      <c r="AD169" s="5"/>
      <c r="AE169" s="713" t="str">
        <f>IF('Info. Personagem'!R[-228]C[7]&lt;11,"Latent Accuracy",IF('Info. Personagem'!R[-228]C[7]&lt;18,"Latent Accuracy (2)","Latent Accuracy (3)" ))&amp;",Working the Angles"</f>
        <v>#ERROR!</v>
      </c>
      <c r="AF169" s="714"/>
      <c r="AG169" s="714"/>
      <c r="AH169" s="708" t="s">
        <v>724</v>
      </c>
      <c r="AI169" s="710"/>
      <c r="AJ169" s="710"/>
      <c r="AK169" s="712"/>
      <c r="AL169" s="7"/>
      <c r="AM169" s="7"/>
      <c r="AN169" s="7"/>
      <c r="AO169" s="5"/>
      <c r="AP169" s="708" t="s">
        <v>725</v>
      </c>
      <c r="AQ169" s="708" t="s">
        <v>726</v>
      </c>
      <c r="AR169" s="710"/>
      <c r="AS169" s="710"/>
      <c r="AT169" s="710"/>
      <c r="AU169" s="710"/>
      <c r="AV169" s="710"/>
      <c r="AW169" s="717" t="s">
        <v>727</v>
      </c>
      <c r="AX169" s="7"/>
      <c r="AY169" s="7"/>
      <c r="AZ169" s="7"/>
      <c r="BA169" s="7"/>
      <c r="BB169" s="5"/>
      <c r="BC169" s="350"/>
      <c r="BD169" s="350"/>
      <c r="BE169" s="350"/>
      <c r="BF169" s="350"/>
      <c r="BG169" s="350"/>
      <c r="BH169" s="350"/>
      <c r="BI169" s="350"/>
      <c r="BJ169" s="350"/>
      <c r="BK169" s="350"/>
      <c r="BL169" s="350"/>
      <c r="BM169" s="350"/>
      <c r="BN169" s="350"/>
      <c r="BO169" s="350"/>
      <c r="BP169" s="350"/>
      <c r="BQ169" s="350"/>
      <c r="BR169" s="350"/>
      <c r="BS169" s="350"/>
      <c r="BT169" s="350"/>
      <c r="BU169" s="350"/>
      <c r="BV169" s="350"/>
      <c r="BW169" s="350"/>
      <c r="BX169" s="350"/>
      <c r="BY169" s="350"/>
    </row>
    <row r="170">
      <c r="A170" s="716" t="s">
        <v>728</v>
      </c>
      <c r="B170" s="7"/>
      <c r="C170" s="7"/>
      <c r="D170" s="7"/>
      <c r="E170" s="7"/>
      <c r="F170" s="5"/>
      <c r="G170" s="708"/>
      <c r="H170" s="708"/>
      <c r="I170" s="709"/>
      <c r="J170" s="708"/>
      <c r="K170" s="710"/>
      <c r="L170" s="710"/>
      <c r="M170" s="710"/>
      <c r="N170" s="711">
        <v>30.0</v>
      </c>
      <c r="O170" s="5"/>
      <c r="P170" s="712"/>
      <c r="Q170" s="7"/>
      <c r="R170" s="7"/>
      <c r="S170" s="7"/>
      <c r="T170" s="5"/>
      <c r="U170" s="713" t="str">
        <f>IF('Info. Personagem'!R[-229]C[17]&lt;7,"Latent Boil Release",IF('Info. Personagem'!R[-229]C[17]&lt;15,"Latent Boil Release (2)","Latent Boil Release (3)" ))</f>
        <v>#ERROR!</v>
      </c>
      <c r="V170" s="714"/>
      <c r="W170" s="714"/>
      <c r="X170" s="714"/>
      <c r="Y170" s="714"/>
      <c r="Z170" s="712"/>
      <c r="AA170" s="7"/>
      <c r="AB170" s="7"/>
      <c r="AC170" s="7"/>
      <c r="AD170" s="5"/>
      <c r="AE170" s="713" t="str">
        <f>IF('Info. Personagem'!R[-229]C[7]&lt;7,"Latent Boil Release",IF('Info. Personagem'!R[-229]C[7]&lt;15,"Latent Boil Release (2)","Latent Boil Release (3)" ))</f>
        <v>#ERROR!</v>
      </c>
      <c r="AF170" s="714"/>
      <c r="AG170" s="714"/>
      <c r="AH170" s="708" t="s">
        <v>729</v>
      </c>
      <c r="AI170" s="710"/>
      <c r="AJ170" s="710"/>
      <c r="AK170" s="712"/>
      <c r="AL170" s="7"/>
      <c r="AM170" s="7"/>
      <c r="AN170" s="7"/>
      <c r="AO170" s="5"/>
      <c r="AP170" s="708" t="s">
        <v>730</v>
      </c>
      <c r="AQ170" s="708" t="s">
        <v>731</v>
      </c>
      <c r="AR170" s="710"/>
      <c r="AS170" s="710"/>
      <c r="AT170" s="710"/>
      <c r="AU170" s="710"/>
      <c r="AV170" s="710"/>
      <c r="AW170" s="717" t="s">
        <v>732</v>
      </c>
      <c r="AX170" s="7"/>
      <c r="AY170" s="7"/>
      <c r="AZ170" s="7"/>
      <c r="BA170" s="7"/>
      <c r="BB170" s="5"/>
      <c r="BC170" s="350"/>
      <c r="BD170" s="350"/>
      <c r="BE170" s="350"/>
      <c r="BF170" s="350"/>
      <c r="BG170" s="350"/>
      <c r="BH170" s="350"/>
      <c r="BI170" s="350"/>
      <c r="BJ170" s="350"/>
      <c r="BK170" s="350"/>
      <c r="BL170" s="350"/>
      <c r="BM170" s="350"/>
      <c r="BN170" s="350"/>
      <c r="BO170" s="350"/>
      <c r="BP170" s="350"/>
      <c r="BQ170" s="350"/>
      <c r="BR170" s="350"/>
      <c r="BS170" s="350"/>
      <c r="BT170" s="350"/>
      <c r="BU170" s="350"/>
      <c r="BV170" s="350"/>
      <c r="BW170" s="350"/>
      <c r="BX170" s="350"/>
      <c r="BY170" s="350"/>
    </row>
    <row r="171">
      <c r="A171" s="716" t="s">
        <v>733</v>
      </c>
      <c r="B171" s="7"/>
      <c r="C171" s="7"/>
      <c r="D171" s="7"/>
      <c r="E171" s="7"/>
      <c r="F171" s="5"/>
      <c r="G171" s="708"/>
      <c r="H171" s="708"/>
      <c r="I171" s="709"/>
      <c r="J171" s="708"/>
      <c r="K171" s="710"/>
      <c r="L171" s="710"/>
      <c r="M171" s="710"/>
      <c r="N171" s="711">
        <v>35.0</v>
      </c>
      <c r="O171" s="5"/>
      <c r="P171" s="712"/>
      <c r="Q171" s="7"/>
      <c r="R171" s="7"/>
      <c r="S171" s="7"/>
      <c r="T171" s="5"/>
      <c r="U171" s="713" t="str">
        <f>IF('Info. Personagem'!R[-230]C[17]&lt;11,"White Chakra","White Chakra (2)")</f>
        <v>#ERROR!</v>
      </c>
      <c r="V171" s="714"/>
      <c r="W171" s="714"/>
      <c r="X171" s="714"/>
      <c r="Y171" s="714"/>
      <c r="Z171" s="712"/>
      <c r="AA171" s="7"/>
      <c r="AB171" s="7"/>
      <c r="AC171" s="7"/>
      <c r="AD171" s="5"/>
      <c r="AE171" s="713" t="s">
        <v>734</v>
      </c>
      <c r="AF171" s="714"/>
      <c r="AG171" s="714"/>
      <c r="AH171" s="708" t="s">
        <v>735</v>
      </c>
      <c r="AI171" s="710"/>
      <c r="AJ171" s="710"/>
      <c r="AK171" s="712"/>
      <c r="AL171" s="7"/>
      <c r="AM171" s="7"/>
      <c r="AN171" s="7"/>
      <c r="AO171" s="5"/>
      <c r="AP171" s="708" t="s">
        <v>736</v>
      </c>
      <c r="AQ171" s="708" t="s">
        <v>737</v>
      </c>
      <c r="AR171" s="710"/>
      <c r="AS171" s="710"/>
      <c r="AT171" s="710"/>
      <c r="AU171" s="710"/>
      <c r="AV171" s="710"/>
      <c r="AW171" s="717" t="s">
        <v>738</v>
      </c>
      <c r="AX171" s="7"/>
      <c r="AY171" s="7"/>
      <c r="AZ171" s="7"/>
      <c r="BA171" s="7"/>
      <c r="BB171" s="5"/>
      <c r="BC171" s="350"/>
      <c r="BD171" s="350"/>
      <c r="BE171" s="350"/>
      <c r="BF171" s="350"/>
      <c r="BG171" s="350"/>
      <c r="BH171" s="350"/>
      <c r="BI171" s="350"/>
      <c r="BJ171" s="350"/>
      <c r="BK171" s="350"/>
      <c r="BL171" s="350"/>
      <c r="BM171" s="350"/>
      <c r="BN171" s="350"/>
      <c r="BO171" s="350"/>
      <c r="BP171" s="350"/>
      <c r="BQ171" s="350"/>
      <c r="BR171" s="350"/>
      <c r="BS171" s="350"/>
      <c r="BT171" s="350"/>
      <c r="BU171" s="350"/>
      <c r="BV171" s="350"/>
      <c r="BW171" s="350"/>
      <c r="BX171" s="350"/>
      <c r="BY171" s="350"/>
    </row>
    <row r="172">
      <c r="A172" s="716" t="s">
        <v>739</v>
      </c>
      <c r="B172" s="7"/>
      <c r="C172" s="7"/>
      <c r="D172" s="7"/>
      <c r="E172" s="7"/>
      <c r="F172" s="5"/>
      <c r="G172" s="708"/>
      <c r="H172" s="708"/>
      <c r="I172" s="709"/>
      <c r="J172" s="710"/>
      <c r="K172" s="710"/>
      <c r="L172" s="710"/>
      <c r="M172" s="710"/>
      <c r="N172" s="711">
        <v>30.0</v>
      </c>
      <c r="O172" s="5"/>
      <c r="P172" s="712"/>
      <c r="Q172" s="7"/>
      <c r="R172" s="7"/>
      <c r="S172" s="7"/>
      <c r="T172" s="5"/>
      <c r="U172" s="713" t="str">
        <f>IF('Info. Personagem'!R[-231]C[17]&lt;11,"Latent Regeneration","Latent Regeneration (2)")</f>
        <v>#ERROR!</v>
      </c>
      <c r="V172" s="714"/>
      <c r="W172" s="714"/>
      <c r="X172" s="714"/>
      <c r="Y172" s="714"/>
      <c r="Z172" s="712"/>
      <c r="AA172" s="7"/>
      <c r="AB172" s="7"/>
      <c r="AC172" s="7"/>
      <c r="AD172" s="5"/>
      <c r="AE172" s="713" t="s">
        <v>740</v>
      </c>
      <c r="AF172" s="714"/>
      <c r="AG172" s="714"/>
      <c r="AH172" s="708" t="s">
        <v>741</v>
      </c>
      <c r="AI172" s="710"/>
      <c r="AJ172" s="710"/>
      <c r="AK172" s="712"/>
      <c r="AL172" s="7"/>
      <c r="AM172" s="7"/>
      <c r="AN172" s="7"/>
      <c r="AO172" s="5"/>
      <c r="AP172" s="708" t="s">
        <v>742</v>
      </c>
      <c r="AQ172" s="708" t="s">
        <v>743</v>
      </c>
      <c r="AR172" s="710"/>
      <c r="AS172" s="710"/>
      <c r="AT172" s="710"/>
      <c r="AU172" s="710"/>
      <c r="AV172" s="710"/>
      <c r="AW172" s="717" t="s">
        <v>744</v>
      </c>
      <c r="AX172" s="7"/>
      <c r="AY172" s="7"/>
      <c r="AZ172" s="7"/>
      <c r="BA172" s="7"/>
      <c r="BB172" s="5"/>
      <c r="BC172" s="350"/>
      <c r="BD172" s="350"/>
      <c r="BE172" s="350"/>
      <c r="BF172" s="350"/>
      <c r="BG172" s="350"/>
      <c r="BH172" s="350"/>
      <c r="BI172" s="350"/>
      <c r="BJ172" s="350"/>
      <c r="BK172" s="350"/>
      <c r="BL172" s="350"/>
      <c r="BM172" s="350"/>
      <c r="BN172" s="350"/>
      <c r="BO172" s="350"/>
      <c r="BP172" s="350"/>
      <c r="BQ172" s="350"/>
      <c r="BR172" s="350"/>
      <c r="BS172" s="350"/>
      <c r="BT172" s="350"/>
      <c r="BU172" s="350"/>
      <c r="BV172" s="350"/>
      <c r="BW172" s="350"/>
      <c r="BX172" s="350"/>
      <c r="BY172" s="350"/>
    </row>
    <row r="173">
      <c r="A173" s="716" t="s">
        <v>745</v>
      </c>
      <c r="B173" s="7"/>
      <c r="C173" s="7"/>
      <c r="D173" s="7"/>
      <c r="E173" s="7"/>
      <c r="F173" s="5"/>
      <c r="G173" s="708"/>
      <c r="H173" s="710"/>
      <c r="I173" s="709"/>
      <c r="J173" s="710"/>
      <c r="K173" s="710"/>
      <c r="L173" s="710"/>
      <c r="M173" s="710"/>
      <c r="N173" s="711">
        <v>30.0</v>
      </c>
      <c r="O173" s="5"/>
      <c r="P173" s="712"/>
      <c r="Q173" s="7"/>
      <c r="R173" s="7"/>
      <c r="S173" s="7"/>
      <c r="T173" s="5"/>
      <c r="U173" s="713" t="s">
        <v>746</v>
      </c>
      <c r="V173" s="714"/>
      <c r="W173" s="714"/>
      <c r="X173" s="714"/>
      <c r="Y173" s="714"/>
      <c r="Z173" s="712"/>
      <c r="AA173" s="7"/>
      <c r="AB173" s="7"/>
      <c r="AC173" s="7"/>
      <c r="AD173" s="5"/>
      <c r="AE173" s="713" t="s">
        <v>746</v>
      </c>
      <c r="AF173" s="714"/>
      <c r="AG173" s="714"/>
      <c r="AH173" s="708" t="s">
        <v>747</v>
      </c>
      <c r="AI173" s="710"/>
      <c r="AJ173" s="710"/>
      <c r="AK173" s="712"/>
      <c r="AL173" s="7"/>
      <c r="AM173" s="7"/>
      <c r="AN173" s="7"/>
      <c r="AO173" s="5"/>
      <c r="AP173" s="708" t="s">
        <v>748</v>
      </c>
      <c r="AQ173" s="708" t="s">
        <v>749</v>
      </c>
      <c r="AR173" s="710"/>
      <c r="AS173" s="710"/>
      <c r="AT173" s="710"/>
      <c r="AU173" s="710"/>
      <c r="AV173" s="710"/>
      <c r="AW173" s="717" t="s">
        <v>750</v>
      </c>
      <c r="AX173" s="7"/>
      <c r="AY173" s="7"/>
      <c r="AZ173" s="7"/>
      <c r="BA173" s="7"/>
      <c r="BB173" s="5"/>
      <c r="BC173" s="350"/>
      <c r="BD173" s="350"/>
      <c r="BE173" s="350"/>
      <c r="BF173" s="350"/>
      <c r="BG173" s="350"/>
      <c r="BH173" s="350"/>
      <c r="BI173" s="350"/>
      <c r="BJ173" s="350"/>
      <c r="BK173" s="350"/>
      <c r="BL173" s="350"/>
      <c r="BM173" s="350"/>
      <c r="BN173" s="350"/>
      <c r="BO173" s="350"/>
      <c r="BP173" s="350"/>
      <c r="BQ173" s="350"/>
      <c r="BR173" s="350"/>
      <c r="BS173" s="350"/>
      <c r="BT173" s="350"/>
      <c r="BU173" s="350"/>
      <c r="BV173" s="350"/>
      <c r="BW173" s="350"/>
      <c r="BX173" s="350"/>
      <c r="BY173" s="350"/>
    </row>
    <row r="174">
      <c r="A174" s="716" t="s">
        <v>751</v>
      </c>
      <c r="B174" s="7"/>
      <c r="C174" s="7"/>
      <c r="D174" s="7"/>
      <c r="E174" s="7"/>
      <c r="F174" s="5"/>
      <c r="G174" s="708"/>
      <c r="H174" s="708"/>
      <c r="I174" s="709"/>
      <c r="J174" s="710"/>
      <c r="K174" s="710"/>
      <c r="L174" s="708"/>
      <c r="M174" s="710"/>
      <c r="N174" s="711">
        <v>30.0</v>
      </c>
      <c r="O174" s="5"/>
      <c r="P174" s="493"/>
      <c r="Q174" s="7"/>
      <c r="R174" s="7"/>
      <c r="S174" s="7"/>
      <c r="T174" s="5"/>
      <c r="U174" s="713" t="s">
        <v>752</v>
      </c>
      <c r="V174" s="710"/>
      <c r="W174" s="710"/>
      <c r="X174" s="710"/>
      <c r="Y174" s="710"/>
      <c r="Z174" s="493"/>
      <c r="AA174" s="7"/>
      <c r="AB174" s="7"/>
      <c r="AC174" s="7"/>
      <c r="AD174" s="5"/>
      <c r="AE174" s="713" t="s">
        <v>753</v>
      </c>
      <c r="AF174" s="710"/>
      <c r="AG174" s="710"/>
      <c r="AH174" s="708" t="s">
        <v>754</v>
      </c>
      <c r="AI174" s="710"/>
      <c r="AJ174" s="710"/>
      <c r="AK174" s="712"/>
      <c r="AL174" s="7"/>
      <c r="AM174" s="7"/>
      <c r="AN174" s="7"/>
      <c r="AO174" s="5"/>
      <c r="AP174" s="708" t="s">
        <v>755</v>
      </c>
      <c r="AQ174" s="708" t="s">
        <v>756</v>
      </c>
      <c r="AR174" s="710"/>
      <c r="AS174" s="710"/>
      <c r="AT174" s="710"/>
      <c r="AU174" s="710"/>
      <c r="AV174" s="710"/>
      <c r="AW174" s="717" t="s">
        <v>757</v>
      </c>
      <c r="AX174" s="7"/>
      <c r="AY174" s="7"/>
      <c r="AZ174" s="7"/>
      <c r="BA174" s="7"/>
      <c r="BB174" s="5"/>
      <c r="BC174" s="350"/>
      <c r="BD174" s="350"/>
      <c r="BE174" s="350"/>
      <c r="BF174" s="350"/>
      <c r="BG174" s="350"/>
      <c r="BH174" s="350"/>
      <c r="BI174" s="350"/>
      <c r="BJ174" s="350"/>
      <c r="BK174" s="350"/>
      <c r="BL174" s="350"/>
      <c r="BM174" s="350"/>
      <c r="BN174" s="350"/>
      <c r="BO174" s="350"/>
      <c r="BP174" s="350"/>
      <c r="BQ174" s="350"/>
      <c r="BR174" s="350"/>
      <c r="BS174" s="350"/>
      <c r="BT174" s="350"/>
      <c r="BU174" s="350"/>
      <c r="BV174" s="350"/>
      <c r="BW174" s="350"/>
      <c r="BX174" s="350"/>
      <c r="BY174" s="350"/>
    </row>
    <row r="175">
      <c r="A175" s="716" t="s">
        <v>758</v>
      </c>
      <c r="B175" s="7"/>
      <c r="C175" s="7"/>
      <c r="D175" s="7"/>
      <c r="E175" s="7"/>
      <c r="F175" s="5"/>
      <c r="G175" s="708"/>
      <c r="H175" s="710"/>
      <c r="I175" s="709"/>
      <c r="J175" s="710"/>
      <c r="K175" s="710"/>
      <c r="L175" s="710"/>
      <c r="M175" s="710"/>
      <c r="N175" s="712"/>
      <c r="O175" s="5"/>
      <c r="P175" s="712"/>
      <c r="Q175" s="7"/>
      <c r="R175" s="7"/>
      <c r="S175" s="7"/>
      <c r="T175" s="5"/>
      <c r="U175" s="713" t="s">
        <v>759</v>
      </c>
      <c r="V175" s="714"/>
      <c r="W175" s="714"/>
      <c r="X175" s="714"/>
      <c r="Y175" s="714"/>
      <c r="Z175" s="712"/>
      <c r="AA175" s="7"/>
      <c r="AB175" s="7"/>
      <c r="AC175" s="7"/>
      <c r="AD175" s="5"/>
      <c r="AE175" s="713" t="s">
        <v>759</v>
      </c>
      <c r="AF175" s="714"/>
      <c r="AG175" s="714"/>
      <c r="AH175" s="708" t="s">
        <v>760</v>
      </c>
      <c r="AI175" s="710"/>
      <c r="AJ175" s="710"/>
      <c r="AK175" s="712"/>
      <c r="AL175" s="7"/>
      <c r="AM175" s="7"/>
      <c r="AN175" s="7"/>
      <c r="AO175" s="5"/>
      <c r="AP175" s="708" t="s">
        <v>761</v>
      </c>
      <c r="AQ175" s="708" t="s">
        <v>762</v>
      </c>
      <c r="AR175" s="710"/>
      <c r="AS175" s="710"/>
      <c r="AT175" s="710"/>
      <c r="AU175" s="710"/>
      <c r="AV175" s="710"/>
      <c r="AW175" s="717" t="s">
        <v>763</v>
      </c>
      <c r="AX175" s="7"/>
      <c r="AY175" s="7"/>
      <c r="AZ175" s="7"/>
      <c r="BA175" s="7"/>
      <c r="BB175" s="5"/>
      <c r="BC175" s="350"/>
      <c r="BD175" s="350"/>
      <c r="BE175" s="350"/>
      <c r="BF175" s="350"/>
      <c r="BG175" s="350"/>
      <c r="BH175" s="350"/>
      <c r="BI175" s="350"/>
      <c r="BJ175" s="350"/>
      <c r="BK175" s="350"/>
      <c r="BL175" s="350"/>
      <c r="BM175" s="350"/>
      <c r="BN175" s="350"/>
      <c r="BO175" s="350"/>
      <c r="BP175" s="350"/>
      <c r="BQ175" s="350"/>
      <c r="BR175" s="350"/>
      <c r="BS175" s="350"/>
      <c r="BT175" s="350"/>
      <c r="BU175" s="350"/>
      <c r="BV175" s="350"/>
      <c r="BW175" s="350"/>
      <c r="BX175" s="350"/>
      <c r="BY175" s="350"/>
    </row>
    <row r="176">
      <c r="A176" s="716" t="s">
        <v>764</v>
      </c>
      <c r="B176" s="7"/>
      <c r="C176" s="7"/>
      <c r="D176" s="7"/>
      <c r="E176" s="7"/>
      <c r="F176" s="5"/>
      <c r="G176" s="708"/>
      <c r="H176" s="708"/>
      <c r="I176" s="709"/>
      <c r="J176" s="708"/>
      <c r="K176" s="710"/>
      <c r="L176" s="710"/>
      <c r="M176" s="710"/>
      <c r="N176" s="712"/>
      <c r="O176" s="5"/>
      <c r="P176" s="712"/>
      <c r="Q176" s="7"/>
      <c r="R176" s="7"/>
      <c r="S176" s="7"/>
      <c r="T176" s="5"/>
      <c r="U176" s="713" t="s">
        <v>765</v>
      </c>
      <c r="V176" s="714"/>
      <c r="W176" s="714"/>
      <c r="X176" s="714"/>
      <c r="Y176" s="714"/>
      <c r="Z176" s="712"/>
      <c r="AA176" s="7"/>
      <c r="AB176" s="7"/>
      <c r="AC176" s="7"/>
      <c r="AD176" s="5"/>
      <c r="AE176" s="713" t="s">
        <v>765</v>
      </c>
      <c r="AF176" s="714"/>
      <c r="AG176" s="714"/>
      <c r="AH176" s="708" t="s">
        <v>766</v>
      </c>
      <c r="AI176" s="710"/>
      <c r="AJ176" s="710"/>
      <c r="AK176" s="712"/>
      <c r="AL176" s="7"/>
      <c r="AM176" s="7"/>
      <c r="AN176" s="7"/>
      <c r="AO176" s="5"/>
      <c r="AP176" s="708" t="s">
        <v>767</v>
      </c>
      <c r="AQ176" s="708" t="s">
        <v>768</v>
      </c>
      <c r="AR176" s="710"/>
      <c r="AS176" s="710"/>
      <c r="AT176" s="710"/>
      <c r="AU176" s="710"/>
      <c r="AV176" s="710"/>
      <c r="AW176" s="717" t="s">
        <v>769</v>
      </c>
      <c r="AX176" s="7"/>
      <c r="AY176" s="7"/>
      <c r="AZ176" s="7"/>
      <c r="BA176" s="7"/>
      <c r="BB176" s="5"/>
      <c r="BC176" s="350"/>
      <c r="BD176" s="350"/>
      <c r="BE176" s="350"/>
      <c r="BF176" s="350"/>
      <c r="BG176" s="350"/>
      <c r="BH176" s="350"/>
      <c r="BI176" s="350"/>
      <c r="BJ176" s="350"/>
      <c r="BK176" s="350"/>
      <c r="BL176" s="350"/>
      <c r="BM176" s="350"/>
      <c r="BN176" s="350"/>
      <c r="BO176" s="350"/>
      <c r="BP176" s="350"/>
      <c r="BQ176" s="350"/>
      <c r="BR176" s="350"/>
      <c r="BS176" s="350"/>
      <c r="BT176" s="350"/>
      <c r="BU176" s="350"/>
      <c r="BV176" s="350"/>
      <c r="BW176" s="350"/>
      <c r="BX176" s="350"/>
      <c r="BY176" s="350"/>
    </row>
    <row r="177">
      <c r="A177" s="716" t="s">
        <v>770</v>
      </c>
      <c r="B177" s="7"/>
      <c r="C177" s="7"/>
      <c r="D177" s="7"/>
      <c r="E177" s="7"/>
      <c r="F177" s="5"/>
      <c r="G177" s="708"/>
      <c r="H177" s="708"/>
      <c r="I177" s="709"/>
      <c r="J177" s="710"/>
      <c r="K177" s="710"/>
      <c r="L177" s="710"/>
      <c r="M177" s="710"/>
      <c r="N177" s="712"/>
      <c r="O177" s="5"/>
      <c r="P177" s="712"/>
      <c r="Q177" s="7"/>
      <c r="R177" s="7"/>
      <c r="S177" s="7"/>
      <c r="T177" s="5"/>
      <c r="U177" s="713" t="str">
        <f>IF('Info. Personagem'!R[-236]C[17]&lt;7,"Latent Magnet Release",IF('Info. Personagem'!R[-236]C[17]&lt;15,"Latent Magnet Release (2)","Latent Magnet Release (3)" ))</f>
        <v>#ERROR!</v>
      </c>
      <c r="V177" s="714"/>
      <c r="W177" s="714"/>
      <c r="X177" s="714"/>
      <c r="Y177" s="714"/>
      <c r="Z177" s="712"/>
      <c r="AA177" s="7"/>
      <c r="AB177" s="7"/>
      <c r="AC177" s="7"/>
      <c r="AD177" s="5"/>
      <c r="AE177" s="713" t="str">
        <f>IF('Info. Personagem'!R[-236]C[7]&lt;7,"Latent Magnet Release",IF('Info. Personagem'!R[-236]C[7]&lt;15,"Latent Magnet Release (2)","Latent Magnet Release (3)" ))</f>
        <v>#ERROR!</v>
      </c>
      <c r="AF177" s="714"/>
      <c r="AG177" s="714"/>
      <c r="AH177" s="708" t="s">
        <v>771</v>
      </c>
      <c r="AI177" s="710"/>
      <c r="AJ177" s="710"/>
      <c r="AK177" s="712"/>
      <c r="AL177" s="7"/>
      <c r="AM177" s="7"/>
      <c r="AN177" s="7"/>
      <c r="AO177" s="5"/>
      <c r="AP177" s="708" t="s">
        <v>772</v>
      </c>
      <c r="AQ177" s="708" t="s">
        <v>773</v>
      </c>
      <c r="AR177" s="710"/>
      <c r="AS177" s="710"/>
      <c r="AT177" s="710"/>
      <c r="AU177" s="710"/>
      <c r="AV177" s="710"/>
      <c r="AW177" s="717" t="s">
        <v>774</v>
      </c>
      <c r="AX177" s="7"/>
      <c r="AY177" s="7"/>
      <c r="AZ177" s="7"/>
      <c r="BA177" s="7"/>
      <c r="BB177" s="5"/>
      <c r="BC177" s="350"/>
      <c r="BD177" s="350"/>
      <c r="BE177" s="350"/>
      <c r="BF177" s="350"/>
      <c r="BG177" s="350"/>
      <c r="BH177" s="350"/>
      <c r="BI177" s="350"/>
      <c r="BJ177" s="350"/>
      <c r="BK177" s="350"/>
      <c r="BL177" s="350"/>
      <c r="BM177" s="350"/>
      <c r="BN177" s="350"/>
      <c r="BO177" s="350"/>
      <c r="BP177" s="350"/>
      <c r="BQ177" s="350"/>
      <c r="BR177" s="350"/>
      <c r="BS177" s="350"/>
      <c r="BT177" s="350"/>
      <c r="BU177" s="350"/>
      <c r="BV177" s="350"/>
      <c r="BW177" s="350"/>
      <c r="BX177" s="350"/>
      <c r="BY177" s="350"/>
    </row>
    <row r="178">
      <c r="A178" s="716" t="s">
        <v>775</v>
      </c>
      <c r="B178" s="7"/>
      <c r="C178" s="7"/>
      <c r="D178" s="7"/>
      <c r="E178" s="7"/>
      <c r="F178" s="5"/>
      <c r="G178" s="708"/>
      <c r="H178" s="708"/>
      <c r="I178" s="709"/>
      <c r="J178" s="710"/>
      <c r="K178" s="710"/>
      <c r="L178" s="710"/>
      <c r="M178" s="710"/>
      <c r="N178" s="712"/>
      <c r="O178" s="5"/>
      <c r="P178" s="712"/>
      <c r="Q178" s="7"/>
      <c r="R178" s="7"/>
      <c r="S178" s="7"/>
      <c r="T178" s="5"/>
      <c r="U178" s="713" t="s">
        <v>776</v>
      </c>
      <c r="V178" s="714"/>
      <c r="W178" s="714"/>
      <c r="X178" s="714"/>
      <c r="Y178" s="714"/>
      <c r="Z178" s="712"/>
      <c r="AA178" s="7"/>
      <c r="AB178" s="7"/>
      <c r="AC178" s="7"/>
      <c r="AD178" s="5"/>
      <c r="AE178" s="710"/>
      <c r="AF178" s="714"/>
      <c r="AG178" s="714"/>
      <c r="AH178" s="708" t="s">
        <v>777</v>
      </c>
      <c r="AI178" s="710"/>
      <c r="AJ178" s="710"/>
      <c r="AK178" s="712"/>
      <c r="AL178" s="7"/>
      <c r="AM178" s="7"/>
      <c r="AN178" s="7"/>
      <c r="AO178" s="5"/>
      <c r="AP178" s="708" t="s">
        <v>778</v>
      </c>
      <c r="AQ178" s="708" t="s">
        <v>779</v>
      </c>
      <c r="AR178" s="710"/>
      <c r="AS178" s="710"/>
      <c r="AT178" s="710"/>
      <c r="AU178" s="710"/>
      <c r="AV178" s="710"/>
      <c r="AW178" s="717" t="s">
        <v>780</v>
      </c>
      <c r="AX178" s="7"/>
      <c r="AY178" s="7"/>
      <c r="AZ178" s="7"/>
      <c r="BA178" s="7"/>
      <c r="BB178" s="5"/>
      <c r="BC178" s="350"/>
      <c r="BD178" s="350"/>
      <c r="BE178" s="350"/>
      <c r="BF178" s="350"/>
      <c r="BG178" s="350"/>
      <c r="BH178" s="350"/>
      <c r="BI178" s="350"/>
      <c r="BJ178" s="350"/>
      <c r="BK178" s="350"/>
      <c r="BL178" s="350"/>
      <c r="BM178" s="350"/>
      <c r="BN178" s="350"/>
      <c r="BO178" s="350"/>
      <c r="BP178" s="350"/>
      <c r="BQ178" s="350"/>
      <c r="BR178" s="350"/>
      <c r="BS178" s="350"/>
      <c r="BT178" s="350"/>
      <c r="BU178" s="350"/>
      <c r="BV178" s="350"/>
      <c r="BW178" s="350"/>
      <c r="BX178" s="350"/>
      <c r="BY178" s="350"/>
    </row>
    <row r="179">
      <c r="A179" s="716" t="s">
        <v>781</v>
      </c>
      <c r="B179" s="7"/>
      <c r="C179" s="7"/>
      <c r="D179" s="7"/>
      <c r="E179" s="7"/>
      <c r="F179" s="5"/>
      <c r="G179" s="708"/>
      <c r="H179" s="708"/>
      <c r="I179" s="709"/>
      <c r="J179" s="710"/>
      <c r="K179" s="710"/>
      <c r="L179" s="710"/>
      <c r="M179" s="710"/>
      <c r="N179" s="712"/>
      <c r="O179" s="5"/>
      <c r="P179" s="712"/>
      <c r="Q179" s="7"/>
      <c r="R179" s="7"/>
      <c r="S179" s="7"/>
      <c r="T179" s="5"/>
      <c r="U179" s="713" t="s">
        <v>782</v>
      </c>
      <c r="V179" s="714"/>
      <c r="W179" s="714"/>
      <c r="X179" s="714"/>
      <c r="Y179" s="714"/>
      <c r="Z179" s="712"/>
      <c r="AA179" s="7"/>
      <c r="AB179" s="7"/>
      <c r="AC179" s="7"/>
      <c r="AD179" s="5"/>
      <c r="AE179" s="713" t="s">
        <v>782</v>
      </c>
      <c r="AF179" s="714"/>
      <c r="AG179" s="714"/>
      <c r="AH179" s="708" t="s">
        <v>783</v>
      </c>
      <c r="AI179" s="710"/>
      <c r="AJ179" s="710"/>
      <c r="AK179" s="712"/>
      <c r="AL179" s="7"/>
      <c r="AM179" s="7"/>
      <c r="AN179" s="7"/>
      <c r="AO179" s="5"/>
      <c r="AP179" s="708" t="s">
        <v>784</v>
      </c>
      <c r="AQ179" s="708" t="s">
        <v>785</v>
      </c>
      <c r="AR179" s="710"/>
      <c r="AS179" s="710"/>
      <c r="AT179" s="710"/>
      <c r="AU179" s="710"/>
      <c r="AV179" s="710"/>
      <c r="AW179" s="717" t="s">
        <v>786</v>
      </c>
      <c r="AX179" s="7"/>
      <c r="AY179" s="7"/>
      <c r="AZ179" s="7"/>
      <c r="BA179" s="7"/>
      <c r="BB179" s="5"/>
      <c r="BC179" s="350"/>
      <c r="BD179" s="350"/>
      <c r="BE179" s="350"/>
      <c r="BF179" s="350"/>
      <c r="BG179" s="350"/>
      <c r="BH179" s="350"/>
      <c r="BI179" s="350"/>
      <c r="BJ179" s="350"/>
      <c r="BK179" s="350"/>
      <c r="BL179" s="350"/>
      <c r="BM179" s="350"/>
      <c r="BN179" s="350"/>
      <c r="BO179" s="350"/>
      <c r="BP179" s="350"/>
      <c r="BQ179" s="350"/>
      <c r="BR179" s="350"/>
      <c r="BS179" s="350"/>
      <c r="BT179" s="350"/>
      <c r="BU179" s="350"/>
      <c r="BV179" s="350"/>
      <c r="BW179" s="350"/>
      <c r="BX179" s="350"/>
      <c r="BY179" s="350"/>
    </row>
    <row r="180">
      <c r="A180" s="716" t="s">
        <v>787</v>
      </c>
      <c r="B180" s="7"/>
      <c r="C180" s="7"/>
      <c r="D180" s="7"/>
      <c r="E180" s="7"/>
      <c r="F180" s="5"/>
      <c r="G180" s="708"/>
      <c r="H180" s="708"/>
      <c r="I180" s="709"/>
      <c r="J180" s="708"/>
      <c r="K180" s="710"/>
      <c r="L180" s="710"/>
      <c r="M180" s="710"/>
      <c r="N180" s="712"/>
      <c r="O180" s="5"/>
      <c r="P180" s="712"/>
      <c r="Q180" s="7"/>
      <c r="R180" s="7"/>
      <c r="S180" s="7"/>
      <c r="T180" s="5"/>
      <c r="U180" s="713" t="str">
        <f>IF('Info. Personagem'!R[-239]C[17]&lt;11,"Genjutsu Molding",IF('Info. Personagem'!R[-239]C[17]&lt;18,"Genjutsu Molding (2)","Genjutsu Molding (3)" ))</f>
        <v>#ERROR!</v>
      </c>
      <c r="V180" s="714"/>
      <c r="W180" s="714"/>
      <c r="X180" s="714"/>
      <c r="Y180" s="714"/>
      <c r="Z180" s="712"/>
      <c r="AA180" s="7"/>
      <c r="AB180" s="7"/>
      <c r="AC180" s="7"/>
      <c r="AD180" s="5"/>
      <c r="AE180" s="713" t="s">
        <v>788</v>
      </c>
      <c r="AF180" s="714"/>
      <c r="AG180" s="714"/>
      <c r="AH180" s="708" t="s">
        <v>789</v>
      </c>
      <c r="AI180" s="710"/>
      <c r="AJ180" s="710"/>
      <c r="AK180" s="712"/>
      <c r="AL180" s="7"/>
      <c r="AM180" s="7"/>
      <c r="AN180" s="7"/>
      <c r="AO180" s="5"/>
      <c r="AP180" s="708" t="s">
        <v>790</v>
      </c>
      <c r="AQ180" s="708" t="s">
        <v>791</v>
      </c>
      <c r="AR180" s="710"/>
      <c r="AS180" s="710"/>
      <c r="AT180" s="710"/>
      <c r="AU180" s="710"/>
      <c r="AV180" s="710"/>
      <c r="AW180" s="717" t="s">
        <v>792</v>
      </c>
      <c r="AX180" s="7"/>
      <c r="AY180" s="7"/>
      <c r="AZ180" s="7"/>
      <c r="BA180" s="7"/>
      <c r="BB180" s="5"/>
      <c r="BC180" s="350"/>
      <c r="BD180" s="350"/>
      <c r="BE180" s="350"/>
      <c r="BF180" s="350"/>
      <c r="BG180" s="350"/>
      <c r="BH180" s="350"/>
      <c r="BI180" s="350"/>
      <c r="BJ180" s="350"/>
      <c r="BK180" s="350"/>
      <c r="BL180" s="350"/>
      <c r="BM180" s="350"/>
      <c r="BN180" s="350"/>
      <c r="BO180" s="350"/>
      <c r="BP180" s="350"/>
      <c r="BQ180" s="350"/>
      <c r="BR180" s="350"/>
      <c r="BS180" s="350"/>
      <c r="BT180" s="350"/>
      <c r="BU180" s="350"/>
      <c r="BV180" s="350"/>
      <c r="BW180" s="350"/>
      <c r="BX180" s="350"/>
      <c r="BY180" s="350"/>
    </row>
    <row r="181">
      <c r="A181" s="716" t="s">
        <v>793</v>
      </c>
      <c r="B181" s="7"/>
      <c r="C181" s="7"/>
      <c r="D181" s="7"/>
      <c r="E181" s="7"/>
      <c r="F181" s="5"/>
      <c r="G181" s="708"/>
      <c r="H181" s="708"/>
      <c r="I181" s="709"/>
      <c r="J181" s="710"/>
      <c r="K181" s="710"/>
      <c r="L181" s="710"/>
      <c r="M181" s="710"/>
      <c r="N181" s="712"/>
      <c r="O181" s="5"/>
      <c r="P181" s="712"/>
      <c r="Q181" s="7"/>
      <c r="R181" s="7"/>
      <c r="S181" s="7"/>
      <c r="T181" s="5"/>
      <c r="U181" s="713" t="str">
        <f>IF('Info. Personagem'!R[-240]C[17]&lt;11,"Latent Kurugan","Latent Kurugan (2)")</f>
        <v>#ERROR!</v>
      </c>
      <c r="V181" s="714"/>
      <c r="W181" s="714"/>
      <c r="X181" s="714"/>
      <c r="Y181" s="714"/>
      <c r="Z181" s="712"/>
      <c r="AA181" s="7"/>
      <c r="AB181" s="7"/>
      <c r="AC181" s="7"/>
      <c r="AD181" s="5"/>
      <c r="AE181" s="713" t="str">
        <f>IF('Info. Personagem'!R[-240]C[7]&lt;11,"Latent Kuru","Latent Kuru (2)")</f>
        <v>#ERROR!</v>
      </c>
      <c r="AF181" s="714"/>
      <c r="AG181" s="714"/>
      <c r="AH181" s="708" t="s">
        <v>794</v>
      </c>
      <c r="AI181" s="710"/>
      <c r="AJ181" s="710"/>
      <c r="AK181" s="712"/>
      <c r="AL181" s="7"/>
      <c r="AM181" s="7"/>
      <c r="AN181" s="7"/>
      <c r="AO181" s="5"/>
      <c r="AP181" s="708" t="s">
        <v>795</v>
      </c>
      <c r="AQ181" s="708" t="s">
        <v>796</v>
      </c>
      <c r="AR181" s="710"/>
      <c r="AS181" s="710"/>
      <c r="AT181" s="710"/>
      <c r="AU181" s="710"/>
      <c r="AV181" s="710"/>
      <c r="AW181" s="717" t="s">
        <v>797</v>
      </c>
      <c r="AX181" s="7"/>
      <c r="AY181" s="7"/>
      <c r="AZ181" s="7"/>
      <c r="BA181" s="7"/>
      <c r="BB181" s="5"/>
      <c r="BC181" s="350"/>
      <c r="BD181" s="350"/>
      <c r="BE181" s="350"/>
      <c r="BF181" s="350"/>
      <c r="BG181" s="350"/>
      <c r="BH181" s="350"/>
      <c r="BI181" s="350"/>
      <c r="BJ181" s="350"/>
      <c r="BK181" s="350"/>
      <c r="BL181" s="350"/>
      <c r="BM181" s="350"/>
      <c r="BN181" s="350"/>
      <c r="BO181" s="350"/>
      <c r="BP181" s="350"/>
      <c r="BQ181" s="350"/>
      <c r="BR181" s="350"/>
      <c r="BS181" s="350"/>
      <c r="BT181" s="350"/>
      <c r="BU181" s="350"/>
      <c r="BV181" s="350"/>
      <c r="BW181" s="350"/>
      <c r="BX181" s="350"/>
      <c r="BY181" s="350"/>
    </row>
    <row r="182">
      <c r="A182" s="716" t="s">
        <v>798</v>
      </c>
      <c r="B182" s="7"/>
      <c r="C182" s="7"/>
      <c r="D182" s="7"/>
      <c r="E182" s="7"/>
      <c r="F182" s="5"/>
      <c r="G182" s="708"/>
      <c r="H182" s="710"/>
      <c r="I182" s="709"/>
      <c r="J182" s="708"/>
      <c r="K182" s="710"/>
      <c r="L182" s="710"/>
      <c r="M182" s="710"/>
      <c r="N182" s="712"/>
      <c r="O182" s="5"/>
      <c r="P182" s="712"/>
      <c r="Q182" s="7"/>
      <c r="R182" s="7"/>
      <c r="S182" s="7"/>
      <c r="T182" s="5"/>
      <c r="U182" s="713" t="str">
        <f>IF('Info. Personagem'!R[-241]C[17]&lt;7,"Latent Swift Release",IF('Info. Personagem'!R[-241]C[17]&lt;15,"Latent Swift Release (2)","Latent Swift Release (3)" ))</f>
        <v>#ERROR!</v>
      </c>
      <c r="V182" s="714"/>
      <c r="W182" s="714"/>
      <c r="X182" s="714"/>
      <c r="Y182" s="714"/>
      <c r="Z182" s="712"/>
      <c r="AA182" s="7"/>
      <c r="AB182" s="7"/>
      <c r="AC182" s="7"/>
      <c r="AD182" s="5"/>
      <c r="AE182" s="713" t="str">
        <f>IF('Info. Personagem'!R[-241]C[7]&lt;7,"Latent Swift Release",IF('Info. Personagem'!R[-241]C[7]&lt;15,"Latent Swift Release (2)","Latent Swift Release (3)" ))</f>
        <v>#ERROR!</v>
      </c>
      <c r="AF182" s="714"/>
      <c r="AG182" s="714"/>
      <c r="AH182" s="708" t="s">
        <v>799</v>
      </c>
      <c r="AI182" s="710"/>
      <c r="AJ182" s="710"/>
      <c r="AK182" s="712"/>
      <c r="AL182" s="7"/>
      <c r="AM182" s="7"/>
      <c r="AN182" s="7"/>
      <c r="AO182" s="5"/>
      <c r="AP182" s="708" t="s">
        <v>800</v>
      </c>
      <c r="AQ182" s="708" t="s">
        <v>801</v>
      </c>
      <c r="AR182" s="710"/>
      <c r="AS182" s="710"/>
      <c r="AT182" s="710"/>
      <c r="AU182" s="710"/>
      <c r="AV182" s="710"/>
      <c r="AW182" s="717" t="s">
        <v>802</v>
      </c>
      <c r="AX182" s="7"/>
      <c r="AY182" s="7"/>
      <c r="AZ182" s="7"/>
      <c r="BA182" s="7"/>
      <c r="BB182" s="5"/>
      <c r="BC182" s="350"/>
      <c r="BD182" s="350"/>
      <c r="BE182" s="350"/>
      <c r="BF182" s="350"/>
      <c r="BG182" s="350"/>
      <c r="BH182" s="350"/>
      <c r="BI182" s="350"/>
      <c r="BJ182" s="350"/>
      <c r="BK182" s="350"/>
      <c r="BL182" s="350"/>
      <c r="BM182" s="350"/>
      <c r="BN182" s="350"/>
      <c r="BO182" s="350"/>
      <c r="BP182" s="350"/>
      <c r="BQ182" s="350"/>
      <c r="BR182" s="350"/>
      <c r="BS182" s="350"/>
      <c r="BT182" s="350"/>
      <c r="BU182" s="350"/>
      <c r="BV182" s="350"/>
      <c r="BW182" s="350"/>
      <c r="BX182" s="350"/>
      <c r="BY182" s="350"/>
    </row>
    <row r="183">
      <c r="A183" s="716" t="s">
        <v>803</v>
      </c>
      <c r="B183" s="7"/>
      <c r="C183" s="7"/>
      <c r="D183" s="7"/>
      <c r="E183" s="7"/>
      <c r="F183" s="5"/>
      <c r="G183" s="708"/>
      <c r="H183" s="710"/>
      <c r="I183" s="709"/>
      <c r="J183" s="708"/>
      <c r="K183" s="710"/>
      <c r="L183" s="710"/>
      <c r="M183" s="710"/>
      <c r="N183" s="712"/>
      <c r="O183" s="5"/>
      <c r="P183" s="712"/>
      <c r="Q183" s="7"/>
      <c r="R183" s="7"/>
      <c r="S183" s="7"/>
      <c r="T183" s="5"/>
      <c r="U183" s="713" t="s">
        <v>804</v>
      </c>
      <c r="V183" s="714"/>
      <c r="W183" s="714"/>
      <c r="X183" s="714"/>
      <c r="Y183" s="714"/>
      <c r="Z183" s="712"/>
      <c r="AA183" s="7"/>
      <c r="AB183" s="7"/>
      <c r="AC183" s="7"/>
      <c r="AD183" s="5"/>
      <c r="AE183" s="713" t="s">
        <v>804</v>
      </c>
      <c r="AF183" s="714"/>
      <c r="AG183" s="714"/>
      <c r="AH183" s="708" t="s">
        <v>805</v>
      </c>
      <c r="AI183" s="710"/>
      <c r="AJ183" s="710"/>
      <c r="AK183" s="712"/>
      <c r="AL183" s="7"/>
      <c r="AM183" s="7"/>
      <c r="AN183" s="7"/>
      <c r="AO183" s="5"/>
      <c r="AP183" s="708" t="s">
        <v>806</v>
      </c>
      <c r="AQ183" s="708" t="s">
        <v>807</v>
      </c>
      <c r="AR183" s="710"/>
      <c r="AS183" s="710"/>
      <c r="AT183" s="710"/>
      <c r="AU183" s="710"/>
      <c r="AV183" s="710"/>
      <c r="AW183" s="717" t="s">
        <v>808</v>
      </c>
      <c r="AX183" s="7"/>
      <c r="AY183" s="7"/>
      <c r="AZ183" s="7"/>
      <c r="BA183" s="7"/>
      <c r="BB183" s="5"/>
      <c r="BC183" s="350"/>
      <c r="BD183" s="350"/>
      <c r="BE183" s="350"/>
      <c r="BF183" s="350"/>
      <c r="BG183" s="350"/>
      <c r="BH183" s="350"/>
      <c r="BI183" s="350"/>
      <c r="BJ183" s="350"/>
      <c r="BK183" s="350"/>
      <c r="BL183" s="350"/>
      <c r="BM183" s="350"/>
      <c r="BN183" s="350"/>
      <c r="BO183" s="350"/>
      <c r="BP183" s="350"/>
      <c r="BQ183" s="350"/>
      <c r="BR183" s="350"/>
      <c r="BS183" s="350"/>
      <c r="BT183" s="350"/>
      <c r="BU183" s="350"/>
      <c r="BV183" s="350"/>
      <c r="BW183" s="350"/>
      <c r="BX183" s="350"/>
      <c r="BY183" s="350"/>
    </row>
    <row r="184">
      <c r="A184" s="716" t="s">
        <v>809</v>
      </c>
      <c r="B184" s="7"/>
      <c r="C184" s="7"/>
      <c r="D184" s="7"/>
      <c r="E184" s="7"/>
      <c r="F184" s="5"/>
      <c r="G184" s="708"/>
      <c r="H184" s="708"/>
      <c r="I184" s="709"/>
      <c r="J184" s="710"/>
      <c r="K184" s="710"/>
      <c r="L184" s="710"/>
      <c r="M184" s="710"/>
      <c r="N184" s="712"/>
      <c r="O184" s="5"/>
      <c r="P184" s="712"/>
      <c r="Q184" s="7"/>
      <c r="R184" s="7"/>
      <c r="S184" s="7"/>
      <c r="T184" s="5"/>
      <c r="U184" s="713" t="s">
        <v>810</v>
      </c>
      <c r="V184" s="714"/>
      <c r="W184" s="714"/>
      <c r="X184" s="714"/>
      <c r="Y184" s="714"/>
      <c r="Z184" s="712"/>
      <c r="AA184" s="7"/>
      <c r="AB184" s="7"/>
      <c r="AC184" s="7"/>
      <c r="AD184" s="5"/>
      <c r="AE184" s="713" t="s">
        <v>810</v>
      </c>
      <c r="AF184" s="714"/>
      <c r="AG184" s="714"/>
      <c r="AH184" s="708" t="s">
        <v>811</v>
      </c>
      <c r="AI184" s="710"/>
      <c r="AJ184" s="710"/>
      <c r="AK184" s="712"/>
      <c r="AL184" s="7"/>
      <c r="AM184" s="7"/>
      <c r="AN184" s="7"/>
      <c r="AO184" s="5"/>
      <c r="AP184" s="708" t="s">
        <v>812</v>
      </c>
      <c r="AQ184" s="710"/>
      <c r="AR184" s="710"/>
      <c r="AS184" s="710"/>
      <c r="AT184" s="710"/>
      <c r="AU184" s="710"/>
      <c r="AV184" s="710"/>
      <c r="AW184" s="717" t="s">
        <v>813</v>
      </c>
      <c r="AX184" s="7"/>
      <c r="AY184" s="7"/>
      <c r="AZ184" s="7"/>
      <c r="BA184" s="7"/>
      <c r="BB184" s="5"/>
      <c r="BC184" s="350"/>
      <c r="BD184" s="350"/>
      <c r="BE184" s="350"/>
      <c r="BF184" s="350"/>
      <c r="BG184" s="350"/>
      <c r="BH184" s="350"/>
      <c r="BI184" s="350"/>
      <c r="BJ184" s="350"/>
      <c r="BK184" s="350"/>
      <c r="BL184" s="350"/>
      <c r="BM184" s="350"/>
      <c r="BN184" s="350"/>
      <c r="BO184" s="350"/>
      <c r="BP184" s="350"/>
      <c r="BQ184" s="350"/>
      <c r="BR184" s="350"/>
      <c r="BS184" s="350"/>
      <c r="BT184" s="350"/>
      <c r="BU184" s="350"/>
      <c r="BV184" s="350"/>
      <c r="BW184" s="350"/>
      <c r="BX184" s="350"/>
      <c r="BY184" s="350"/>
    </row>
    <row r="185">
      <c r="A185" s="716" t="s">
        <v>814</v>
      </c>
      <c r="B185" s="7"/>
      <c r="C185" s="7"/>
      <c r="D185" s="7"/>
      <c r="E185" s="7"/>
      <c r="F185" s="5"/>
      <c r="G185" s="708"/>
      <c r="H185" s="708"/>
      <c r="I185" s="709"/>
      <c r="J185" s="708"/>
      <c r="K185" s="710"/>
      <c r="L185" s="710"/>
      <c r="M185" s="708"/>
      <c r="N185" s="712"/>
      <c r="O185" s="5"/>
      <c r="P185" s="712"/>
      <c r="Q185" s="7"/>
      <c r="R185" s="7"/>
      <c r="S185" s="7"/>
      <c r="T185" s="5"/>
      <c r="U185" s="713" t="str">
        <f>IF('Info. Personagem'!R[-244]C[17]&lt;7,"Latent Storm Release",IF('Info. Personagem'!R[-244]C[17]&lt;15,"Latent Storm Release (2)","Latent Storm Release (3)" ))</f>
        <v>#ERROR!</v>
      </c>
      <c r="V185" s="714"/>
      <c r="W185" s="714"/>
      <c r="X185" s="714"/>
      <c r="Y185" s="714"/>
      <c r="Z185" s="712"/>
      <c r="AA185" s="7"/>
      <c r="AB185" s="7"/>
      <c r="AC185" s="7"/>
      <c r="AD185" s="5"/>
      <c r="AE185" s="713" t="str">
        <f>IF('Info. Personagem'!R[-244]C[7]&lt;7,"Latent Storm Release",IF('Info. Personagem'!R[-244]C[7]&lt;15,"Latent Storm Release (2)","Latent Storm Release (3)" ))</f>
        <v>#ERROR!</v>
      </c>
      <c r="AF185" s="714"/>
      <c r="AG185" s="714"/>
      <c r="AH185" s="708" t="s">
        <v>815</v>
      </c>
      <c r="AI185" s="710"/>
      <c r="AJ185" s="710"/>
      <c r="AK185" s="712"/>
      <c r="AL185" s="7"/>
      <c r="AM185" s="7"/>
      <c r="AN185" s="7"/>
      <c r="AO185" s="5"/>
      <c r="AP185" s="708" t="s">
        <v>816</v>
      </c>
      <c r="AQ185" s="708" t="s">
        <v>817</v>
      </c>
      <c r="AR185" s="710"/>
      <c r="AS185" s="710"/>
      <c r="AT185" s="710"/>
      <c r="AU185" s="710"/>
      <c r="AV185" s="710"/>
      <c r="AW185" s="717" t="s">
        <v>818</v>
      </c>
      <c r="AX185" s="7"/>
      <c r="AY185" s="7"/>
      <c r="AZ185" s="7"/>
      <c r="BA185" s="7"/>
      <c r="BB185" s="5"/>
      <c r="BC185" s="350"/>
      <c r="BD185" s="350"/>
      <c r="BE185" s="350"/>
      <c r="BF185" s="350"/>
      <c r="BG185" s="350"/>
      <c r="BH185" s="350"/>
      <c r="BI185" s="350"/>
      <c r="BJ185" s="350"/>
      <c r="BK185" s="350"/>
      <c r="BL185" s="350"/>
      <c r="BM185" s="350"/>
      <c r="BN185" s="350"/>
      <c r="BO185" s="350"/>
      <c r="BP185" s="350"/>
      <c r="BQ185" s="350"/>
      <c r="BR185" s="350"/>
      <c r="BS185" s="350"/>
      <c r="BT185" s="350"/>
      <c r="BU185" s="350"/>
      <c r="BV185" s="350"/>
      <c r="BW185" s="350"/>
      <c r="BX185" s="350"/>
      <c r="BY185" s="350"/>
    </row>
    <row r="186">
      <c r="A186" s="716" t="s">
        <v>819</v>
      </c>
      <c r="B186" s="7"/>
      <c r="C186" s="7"/>
      <c r="D186" s="7"/>
      <c r="E186" s="7"/>
      <c r="F186" s="5"/>
      <c r="G186" s="708"/>
      <c r="H186" s="708"/>
      <c r="I186" s="709"/>
      <c r="J186" s="710"/>
      <c r="K186" s="710"/>
      <c r="L186" s="710"/>
      <c r="M186" s="710"/>
      <c r="N186" s="712"/>
      <c r="O186" s="5"/>
      <c r="P186" s="712"/>
      <c r="Q186" s="7"/>
      <c r="R186" s="7"/>
      <c r="S186" s="7"/>
      <c r="T186" s="5"/>
      <c r="U186" s="713" t="s">
        <v>820</v>
      </c>
      <c r="V186" s="718" t="s">
        <v>821</v>
      </c>
      <c r="W186" s="714"/>
      <c r="X186" s="714"/>
      <c r="Y186" s="714"/>
      <c r="Z186" s="712"/>
      <c r="AA186" s="7"/>
      <c r="AB186" s="7"/>
      <c r="AC186" s="7"/>
      <c r="AD186" s="5"/>
      <c r="AE186" s="713" t="s">
        <v>820</v>
      </c>
      <c r="AF186" s="718" t="s">
        <v>821</v>
      </c>
      <c r="AG186" s="714"/>
      <c r="AH186" s="708" t="s">
        <v>822</v>
      </c>
      <c r="AI186" s="710"/>
      <c r="AJ186" s="710"/>
      <c r="AK186" s="712"/>
      <c r="AL186" s="7"/>
      <c r="AM186" s="7"/>
      <c r="AN186" s="7"/>
      <c r="AO186" s="5"/>
      <c r="AP186" s="708" t="s">
        <v>823</v>
      </c>
      <c r="AQ186" s="708" t="s">
        <v>824</v>
      </c>
      <c r="AR186" s="710"/>
      <c r="AS186" s="710"/>
      <c r="AT186" s="710"/>
      <c r="AU186" s="710"/>
      <c r="AV186" s="710"/>
      <c r="AW186" s="717" t="s">
        <v>825</v>
      </c>
      <c r="AX186" s="7"/>
      <c r="AY186" s="7"/>
      <c r="AZ186" s="7"/>
      <c r="BA186" s="7"/>
      <c r="BB186" s="5"/>
      <c r="BC186" s="350"/>
      <c r="BD186" s="350"/>
      <c r="BE186" s="350"/>
      <c r="BF186" s="350"/>
      <c r="BG186" s="350"/>
      <c r="BH186" s="350"/>
      <c r="BI186" s="350"/>
      <c r="BJ186" s="350"/>
      <c r="BK186" s="350"/>
      <c r="BL186" s="350"/>
      <c r="BM186" s="350"/>
      <c r="BN186" s="350"/>
      <c r="BO186" s="350"/>
      <c r="BP186" s="350"/>
      <c r="BQ186" s="350"/>
      <c r="BR186" s="350"/>
      <c r="BS186" s="350"/>
      <c r="BT186" s="350"/>
      <c r="BU186" s="350"/>
      <c r="BV186" s="350"/>
      <c r="BW186" s="350"/>
      <c r="BX186" s="350"/>
      <c r="BY186" s="350"/>
    </row>
    <row r="187">
      <c r="A187" s="716" t="s">
        <v>826</v>
      </c>
      <c r="B187" s="7"/>
      <c r="C187" s="7"/>
      <c r="D187" s="7"/>
      <c r="E187" s="7"/>
      <c r="F187" s="5"/>
      <c r="G187" s="708"/>
      <c r="H187" s="708"/>
      <c r="I187" s="709"/>
      <c r="J187" s="710"/>
      <c r="K187" s="710"/>
      <c r="L187" s="710"/>
      <c r="M187" s="710"/>
      <c r="N187" s="712"/>
      <c r="O187" s="5"/>
      <c r="P187" s="712"/>
      <c r="Q187" s="7"/>
      <c r="R187" s="7"/>
      <c r="S187" s="7"/>
      <c r="T187" s="5"/>
      <c r="U187" s="713" t="s">
        <v>827</v>
      </c>
      <c r="V187" s="714"/>
      <c r="W187" s="714"/>
      <c r="X187" s="714"/>
      <c r="Y187" s="714"/>
      <c r="Z187" s="712"/>
      <c r="AA187" s="7"/>
      <c r="AB187" s="7"/>
      <c r="AC187" s="7"/>
      <c r="AD187" s="5"/>
      <c r="AE187" s="713" t="s">
        <v>827</v>
      </c>
      <c r="AF187" s="714"/>
      <c r="AG187" s="714"/>
      <c r="AH187" s="708" t="s">
        <v>828</v>
      </c>
      <c r="AI187" s="710"/>
      <c r="AJ187" s="710"/>
      <c r="AK187" s="712"/>
      <c r="AL187" s="7"/>
      <c r="AM187" s="7"/>
      <c r="AN187" s="7"/>
      <c r="AO187" s="5"/>
      <c r="AP187" s="708" t="s">
        <v>829</v>
      </c>
      <c r="AQ187" s="708" t="s">
        <v>830</v>
      </c>
      <c r="AR187" s="710"/>
      <c r="AS187" s="710"/>
      <c r="AT187" s="710"/>
      <c r="AU187" s="710"/>
      <c r="AV187" s="710"/>
      <c r="AW187" s="717" t="s">
        <v>831</v>
      </c>
      <c r="AX187" s="7"/>
      <c r="AY187" s="7"/>
      <c r="AZ187" s="7"/>
      <c r="BA187" s="7"/>
      <c r="BB187" s="5"/>
      <c r="BC187" s="350"/>
      <c r="BD187" s="350"/>
      <c r="BE187" s="350"/>
      <c r="BF187" s="350"/>
      <c r="BG187" s="350"/>
      <c r="BH187" s="350"/>
      <c r="BI187" s="350"/>
      <c r="BJ187" s="350"/>
      <c r="BK187" s="350"/>
      <c r="BL187" s="350"/>
      <c r="BM187" s="350"/>
      <c r="BN187" s="350"/>
      <c r="BO187" s="350"/>
      <c r="BP187" s="350"/>
      <c r="BQ187" s="350"/>
      <c r="BR187" s="350"/>
      <c r="BS187" s="350"/>
      <c r="BT187" s="350"/>
      <c r="BU187" s="350"/>
      <c r="BV187" s="350"/>
      <c r="BW187" s="350"/>
      <c r="BX187" s="350"/>
      <c r="BY187" s="350"/>
    </row>
    <row r="188">
      <c r="A188" s="716" t="s">
        <v>832</v>
      </c>
      <c r="B188" s="7"/>
      <c r="C188" s="7"/>
      <c r="D188" s="7"/>
      <c r="E188" s="7"/>
      <c r="F188" s="5"/>
      <c r="G188" s="708"/>
      <c r="H188" s="708"/>
      <c r="I188" s="709"/>
      <c r="J188" s="710"/>
      <c r="K188" s="708"/>
      <c r="L188" s="710"/>
      <c r="M188" s="708"/>
      <c r="N188" s="712"/>
      <c r="O188" s="5"/>
      <c r="P188" s="712"/>
      <c r="Q188" s="7"/>
      <c r="R188" s="7"/>
      <c r="S188" s="7"/>
      <c r="T188" s="5"/>
      <c r="U188" s="713" t="s">
        <v>833</v>
      </c>
      <c r="V188" s="714"/>
      <c r="W188" s="714"/>
      <c r="X188" s="714"/>
      <c r="Y188" s="714"/>
      <c r="Z188" s="712"/>
      <c r="AA188" s="7"/>
      <c r="AB188" s="7"/>
      <c r="AC188" s="7"/>
      <c r="AD188" s="5"/>
      <c r="AE188" s="713" t="s">
        <v>833</v>
      </c>
      <c r="AF188" s="714"/>
      <c r="AG188" s="714"/>
      <c r="AH188" s="708" t="s">
        <v>834</v>
      </c>
      <c r="AI188" s="710"/>
      <c r="AJ188" s="710"/>
      <c r="AK188" s="712"/>
      <c r="AL188" s="7"/>
      <c r="AM188" s="7"/>
      <c r="AN188" s="7"/>
      <c r="AO188" s="5"/>
      <c r="AP188" s="708" t="s">
        <v>835</v>
      </c>
      <c r="AQ188" s="708" t="s">
        <v>836</v>
      </c>
      <c r="AR188" s="710"/>
      <c r="AS188" s="710"/>
      <c r="AT188" s="710"/>
      <c r="AU188" s="710"/>
      <c r="AV188" s="710"/>
      <c r="AW188" s="717" t="s">
        <v>837</v>
      </c>
      <c r="AX188" s="7"/>
      <c r="AY188" s="7"/>
      <c r="AZ188" s="7"/>
      <c r="BA188" s="7"/>
      <c r="BB188" s="5"/>
      <c r="BC188" s="350"/>
      <c r="BD188" s="350"/>
      <c r="BE188" s="350"/>
      <c r="BF188" s="350"/>
      <c r="BG188" s="350"/>
      <c r="BH188" s="350"/>
      <c r="BI188" s="350"/>
      <c r="BJ188" s="350"/>
      <c r="BK188" s="350"/>
      <c r="BL188" s="350"/>
      <c r="BM188" s="350"/>
      <c r="BN188" s="350"/>
      <c r="BO188" s="350"/>
      <c r="BP188" s="350"/>
      <c r="BQ188" s="350"/>
      <c r="BR188" s="350"/>
      <c r="BS188" s="350"/>
      <c r="BT188" s="350"/>
      <c r="BU188" s="350"/>
      <c r="BV188" s="350"/>
      <c r="BW188" s="350"/>
      <c r="BX188" s="350"/>
      <c r="BY188" s="350"/>
    </row>
    <row r="189">
      <c r="A189" s="716" t="s">
        <v>838</v>
      </c>
      <c r="B189" s="7"/>
      <c r="C189" s="7"/>
      <c r="D189" s="7"/>
      <c r="E189" s="7"/>
      <c r="F189" s="5"/>
      <c r="G189" s="708"/>
      <c r="H189" s="708"/>
      <c r="I189" s="709"/>
      <c r="J189" s="708"/>
      <c r="K189" s="710"/>
      <c r="L189" s="710"/>
      <c r="M189" s="710"/>
      <c r="N189" s="712"/>
      <c r="O189" s="5"/>
      <c r="P189" s="712"/>
      <c r="Q189" s="7"/>
      <c r="R189" s="7"/>
      <c r="S189" s="7"/>
      <c r="T189" s="5"/>
      <c r="U189" s="713" t="str">
        <f>IF('Info. Personagem'!R[-248]C[17]&lt;7,"Latent Scorch Release",IF('Info. Personagem'!R[-248]C[17]&lt;15,"Latent Scorch Release (2)","Latent Scorch Release (3)" ))</f>
        <v>#ERROR!</v>
      </c>
      <c r="V189" s="714"/>
      <c r="W189" s="714"/>
      <c r="X189" s="714"/>
      <c r="Y189" s="714"/>
      <c r="Z189" s="712"/>
      <c r="AA189" s="7"/>
      <c r="AB189" s="7"/>
      <c r="AC189" s="7"/>
      <c r="AD189" s="5"/>
      <c r="AE189" s="713" t="str">
        <f>IF('Info. Personagem'!R[-248]C[7]&lt;7,"Latent Scorch Release",IF('Info. Personagem'!R[-248]C[7]&lt;15,"Latent Scorch Release (2)","Latent Scorch Release (3)" ))</f>
        <v>#ERROR!</v>
      </c>
      <c r="AF189" s="714"/>
      <c r="AG189" s="714"/>
      <c r="AH189" s="708" t="s">
        <v>839</v>
      </c>
      <c r="AI189" s="710"/>
      <c r="AJ189" s="710"/>
      <c r="AK189" s="712"/>
      <c r="AL189" s="7"/>
      <c r="AM189" s="7"/>
      <c r="AN189" s="7"/>
      <c r="AO189" s="5"/>
      <c r="AP189" s="708" t="s">
        <v>840</v>
      </c>
      <c r="AQ189" s="708" t="s">
        <v>841</v>
      </c>
      <c r="AR189" s="710"/>
      <c r="AS189" s="710"/>
      <c r="AT189" s="710"/>
      <c r="AU189" s="710"/>
      <c r="AV189" s="710"/>
      <c r="AW189" s="717" t="s">
        <v>842</v>
      </c>
      <c r="AX189" s="7"/>
      <c r="AY189" s="7"/>
      <c r="AZ189" s="7"/>
      <c r="BA189" s="7"/>
      <c r="BB189" s="5"/>
      <c r="BC189" s="350"/>
      <c r="BD189" s="350"/>
      <c r="BE189" s="350"/>
      <c r="BF189" s="350"/>
      <c r="BG189" s="350"/>
      <c r="BH189" s="350"/>
      <c r="BI189" s="350"/>
      <c r="BJ189" s="350"/>
      <c r="BK189" s="350"/>
      <c r="BL189" s="350"/>
      <c r="BM189" s="350"/>
      <c r="BN189" s="350"/>
      <c r="BO189" s="350"/>
      <c r="BP189" s="350"/>
      <c r="BQ189" s="350"/>
      <c r="BR189" s="350"/>
      <c r="BS189" s="350"/>
      <c r="BT189" s="350"/>
      <c r="BU189" s="350"/>
      <c r="BV189" s="350"/>
      <c r="BW189" s="350"/>
      <c r="BX189" s="350"/>
      <c r="BY189" s="350"/>
    </row>
    <row r="190">
      <c r="A190" s="716" t="s">
        <v>843</v>
      </c>
      <c r="B190" s="7"/>
      <c r="C190" s="7"/>
      <c r="D190" s="7"/>
      <c r="E190" s="7"/>
      <c r="F190" s="5"/>
      <c r="G190" s="708"/>
      <c r="H190" s="708"/>
      <c r="I190" s="709"/>
      <c r="J190" s="708"/>
      <c r="K190" s="708"/>
      <c r="L190" s="710"/>
      <c r="M190" s="710"/>
      <c r="N190" s="712"/>
      <c r="O190" s="5"/>
      <c r="P190" s="712"/>
      <c r="Q190" s="7"/>
      <c r="R190" s="7"/>
      <c r="S190" s="7"/>
      <c r="T190" s="5"/>
      <c r="U190" s="713" t="s">
        <v>844</v>
      </c>
      <c r="V190" s="718" t="s">
        <v>845</v>
      </c>
      <c r="W190" s="714"/>
      <c r="X190" s="714"/>
      <c r="Y190" s="714"/>
      <c r="Z190" s="712"/>
      <c r="AA190" s="7"/>
      <c r="AB190" s="7"/>
      <c r="AC190" s="7"/>
      <c r="AD190" s="5"/>
      <c r="AE190" s="713" t="s">
        <v>844</v>
      </c>
      <c r="AF190" s="718" t="s">
        <v>845</v>
      </c>
      <c r="AG190" s="714"/>
      <c r="AH190" s="708" t="s">
        <v>846</v>
      </c>
      <c r="AI190" s="710"/>
      <c r="AJ190" s="710"/>
      <c r="AK190" s="712"/>
      <c r="AL190" s="7"/>
      <c r="AM190" s="7"/>
      <c r="AN190" s="7"/>
      <c r="AO190" s="5"/>
      <c r="AP190" s="708" t="s">
        <v>847</v>
      </c>
      <c r="AQ190" s="708" t="s">
        <v>848</v>
      </c>
      <c r="AR190" s="710"/>
      <c r="AS190" s="710"/>
      <c r="AT190" s="710"/>
      <c r="AU190" s="710"/>
      <c r="AV190" s="710"/>
      <c r="AW190" s="717" t="s">
        <v>849</v>
      </c>
      <c r="AX190" s="7"/>
      <c r="AY190" s="7"/>
      <c r="AZ190" s="7"/>
      <c r="BA190" s="7"/>
      <c r="BB190" s="5"/>
      <c r="BC190" s="350"/>
      <c r="BD190" s="350"/>
      <c r="BE190" s="350"/>
      <c r="BF190" s="350"/>
      <c r="BG190" s="350"/>
      <c r="BH190" s="350"/>
      <c r="BI190" s="350"/>
      <c r="BJ190" s="350"/>
      <c r="BK190" s="350"/>
      <c r="BL190" s="350"/>
      <c r="BM190" s="350"/>
      <c r="BN190" s="350"/>
      <c r="BO190" s="350"/>
      <c r="BP190" s="350"/>
      <c r="BQ190" s="350"/>
      <c r="BR190" s="350"/>
      <c r="BS190" s="350"/>
      <c r="BT190" s="350"/>
      <c r="BU190" s="350"/>
      <c r="BV190" s="350"/>
      <c r="BW190" s="350"/>
      <c r="BX190" s="350"/>
      <c r="BY190" s="350"/>
    </row>
    <row r="191">
      <c r="A191" s="716" t="s">
        <v>850</v>
      </c>
      <c r="B191" s="7"/>
      <c r="C191" s="7"/>
      <c r="D191" s="7"/>
      <c r="E191" s="7"/>
      <c r="F191" s="5"/>
      <c r="G191" s="708"/>
      <c r="H191" s="708"/>
      <c r="I191" s="709"/>
      <c r="J191" s="708"/>
      <c r="K191" s="710"/>
      <c r="L191" s="710"/>
      <c r="M191" s="710"/>
      <c r="N191" s="712"/>
      <c r="O191" s="5"/>
      <c r="P191" s="712"/>
      <c r="Q191" s="7"/>
      <c r="R191" s="7"/>
      <c r="S191" s="7"/>
      <c r="T191" s="5"/>
      <c r="U191" s="713" t="str">
        <f>IF('Info. Personagem'!R[-250]C[17]&lt;7,"Latent Crystal Release",IF('Info. Personagem'!R[-250]C[17]&lt;15,"Latent Crystal Release (2)","Latent Crystal Release (3)" ))</f>
        <v>#ERROR!</v>
      </c>
      <c r="V191" s="714"/>
      <c r="W191" s="714"/>
      <c r="X191" s="714"/>
      <c r="Y191" s="714"/>
      <c r="Z191" s="712"/>
      <c r="AA191" s="7"/>
      <c r="AB191" s="7"/>
      <c r="AC191" s="7"/>
      <c r="AD191" s="5"/>
      <c r="AE191" s="713" t="str">
        <f>IF('Info. Personagem'!R[-250]C[7]&lt;7,"Latent Crystal Release",IF('Info. Personagem'!R[-250]C[7]&lt;15,"Latent Crystal Release (2)","Latent Crystal Release (3)" ))</f>
        <v>#ERROR!</v>
      </c>
      <c r="AF191" s="714"/>
      <c r="AG191" s="714"/>
      <c r="AH191" s="708" t="s">
        <v>851</v>
      </c>
      <c r="AI191" s="710"/>
      <c r="AJ191" s="710"/>
      <c r="AK191" s="712"/>
      <c r="AL191" s="7"/>
      <c r="AM191" s="7"/>
      <c r="AN191" s="7"/>
      <c r="AO191" s="5"/>
      <c r="AP191" s="708" t="s">
        <v>852</v>
      </c>
      <c r="AQ191" s="708" t="s">
        <v>853</v>
      </c>
      <c r="AR191" s="710"/>
      <c r="AS191" s="710"/>
      <c r="AT191" s="710"/>
      <c r="AU191" s="710"/>
      <c r="AV191" s="710"/>
      <c r="AW191" s="717" t="s">
        <v>854</v>
      </c>
      <c r="AX191" s="7"/>
      <c r="AY191" s="7"/>
      <c r="AZ191" s="7"/>
      <c r="BA191" s="7"/>
      <c r="BB191" s="5"/>
      <c r="BC191" s="350"/>
      <c r="BD191" s="350"/>
      <c r="BE191" s="350"/>
      <c r="BF191" s="350"/>
      <c r="BG191" s="350"/>
      <c r="BH191" s="350"/>
      <c r="BI191" s="350"/>
      <c r="BJ191" s="350"/>
      <c r="BK191" s="350"/>
      <c r="BL191" s="350"/>
      <c r="BM191" s="350"/>
      <c r="BN191" s="350"/>
      <c r="BO191" s="350"/>
      <c r="BP191" s="350"/>
      <c r="BQ191" s="350"/>
      <c r="BR191" s="350"/>
      <c r="BS191" s="350"/>
      <c r="BT191" s="350"/>
      <c r="BU191" s="350"/>
      <c r="BV191" s="350"/>
      <c r="BW191" s="350"/>
      <c r="BX191" s="350"/>
      <c r="BY191" s="350"/>
    </row>
    <row r="192">
      <c r="A192" s="716" t="s">
        <v>855</v>
      </c>
      <c r="B192" s="7"/>
      <c r="C192" s="7"/>
      <c r="D192" s="7"/>
      <c r="E192" s="7"/>
      <c r="F192" s="5"/>
      <c r="G192" s="708"/>
      <c r="H192" s="708"/>
      <c r="I192" s="709"/>
      <c r="J192" s="708"/>
      <c r="K192" s="710"/>
      <c r="L192" s="710"/>
      <c r="M192" s="710"/>
      <c r="N192" s="712"/>
      <c r="O192" s="5"/>
      <c r="P192" s="712"/>
      <c r="Q192" s="7"/>
      <c r="R192" s="7"/>
      <c r="S192" s="7"/>
      <c r="T192" s="5"/>
      <c r="U192" s="713" t="str">
        <f>IF('Info. Personagem'!R[-251]C[17]&lt;15,"Latent Third Eye","Latent Third Eye (2)")</f>
        <v>#ERROR!</v>
      </c>
      <c r="V192" s="714"/>
      <c r="W192" s="714"/>
      <c r="X192" s="714"/>
      <c r="Y192" s="714"/>
      <c r="Z192" s="712"/>
      <c r="AA192" s="7"/>
      <c r="AB192" s="7"/>
      <c r="AC192" s="7"/>
      <c r="AD192" s="5"/>
      <c r="AE192" s="713" t="str">
        <f>IF('Info. Personagem'!R[-251]C[7]&lt;15,"Latent Third Eye","Latent Third Eye (2)")</f>
        <v>#ERROR!</v>
      </c>
      <c r="AF192" s="714"/>
      <c r="AG192" s="714"/>
      <c r="AH192" s="708" t="s">
        <v>856</v>
      </c>
      <c r="AI192" s="710"/>
      <c r="AJ192" s="710"/>
      <c r="AK192" s="712"/>
      <c r="AL192" s="7"/>
      <c r="AM192" s="7"/>
      <c r="AN192" s="7"/>
      <c r="AO192" s="5"/>
      <c r="AP192" s="708" t="s">
        <v>857</v>
      </c>
      <c r="AQ192" s="708" t="s">
        <v>858</v>
      </c>
      <c r="AR192" s="710"/>
      <c r="AS192" s="710"/>
      <c r="AT192" s="710"/>
      <c r="AU192" s="710"/>
      <c r="AV192" s="710"/>
      <c r="AW192" s="717" t="s">
        <v>859</v>
      </c>
      <c r="AX192" s="7"/>
      <c r="AY192" s="7"/>
      <c r="AZ192" s="7"/>
      <c r="BA192" s="7"/>
      <c r="BB192" s="5"/>
      <c r="BC192" s="350"/>
      <c r="BD192" s="350"/>
      <c r="BE192" s="350"/>
      <c r="BF192" s="350"/>
      <c r="BG192" s="350"/>
      <c r="BH192" s="350"/>
      <c r="BI192" s="350"/>
      <c r="BJ192" s="350"/>
      <c r="BK192" s="350"/>
      <c r="BL192" s="350"/>
      <c r="BM192" s="350"/>
      <c r="BN192" s="350"/>
      <c r="BO192" s="350"/>
      <c r="BP192" s="350"/>
      <c r="BQ192" s="350"/>
      <c r="BR192" s="350"/>
      <c r="BS192" s="350"/>
      <c r="BT192" s="350"/>
      <c r="BU192" s="350"/>
      <c r="BV192" s="350"/>
      <c r="BW192" s="350"/>
      <c r="BX192" s="350"/>
      <c r="BY192" s="350"/>
    </row>
    <row r="193">
      <c r="A193" s="716" t="s">
        <v>9</v>
      </c>
      <c r="B193" s="7"/>
      <c r="C193" s="7"/>
      <c r="D193" s="7"/>
      <c r="E193" s="7"/>
      <c r="F193" s="5"/>
      <c r="G193" s="708"/>
      <c r="H193" s="708"/>
      <c r="I193" s="709"/>
      <c r="J193" s="708"/>
      <c r="K193" s="708"/>
      <c r="L193" s="710"/>
      <c r="M193" s="710"/>
      <c r="N193" s="712"/>
      <c r="O193" s="5"/>
      <c r="P193" s="712"/>
      <c r="Q193" s="7"/>
      <c r="R193" s="7"/>
      <c r="S193" s="7"/>
      <c r="T193" s="5"/>
      <c r="U193" s="713" t="s">
        <v>860</v>
      </c>
      <c r="V193" s="714"/>
      <c r="W193" s="714"/>
      <c r="X193" s="714"/>
      <c r="Y193" s="714"/>
      <c r="Z193" s="712"/>
      <c r="AA193" s="7"/>
      <c r="AB193" s="7"/>
      <c r="AC193" s="7"/>
      <c r="AD193" s="5"/>
      <c r="AE193" s="713" t="s">
        <v>860</v>
      </c>
      <c r="AF193" s="714"/>
      <c r="AG193" s="714"/>
      <c r="AH193" s="708" t="s">
        <v>861</v>
      </c>
      <c r="AI193" s="710"/>
      <c r="AJ193" s="710"/>
      <c r="AK193" s="712"/>
      <c r="AL193" s="7"/>
      <c r="AM193" s="7"/>
      <c r="AN193" s="7"/>
      <c r="AO193" s="5"/>
      <c r="AP193" s="708" t="s">
        <v>862</v>
      </c>
      <c r="AQ193" s="708" t="s">
        <v>863</v>
      </c>
      <c r="AR193" s="710"/>
      <c r="AS193" s="710"/>
      <c r="AT193" s="710"/>
      <c r="AU193" s="710"/>
      <c r="AV193" s="710"/>
      <c r="AW193" s="717" t="s">
        <v>864</v>
      </c>
      <c r="AX193" s="7"/>
      <c r="AY193" s="7"/>
      <c r="AZ193" s="7"/>
      <c r="BA193" s="7"/>
      <c r="BB193" s="5"/>
      <c r="BC193" s="350"/>
      <c r="BD193" s="350"/>
      <c r="BE193" s="350"/>
      <c r="BF193" s="350"/>
      <c r="BG193" s="350"/>
      <c r="BH193" s="350"/>
      <c r="BI193" s="350"/>
      <c r="BJ193" s="350"/>
      <c r="BK193" s="350"/>
      <c r="BL193" s="350"/>
      <c r="BM193" s="350"/>
      <c r="BN193" s="350"/>
      <c r="BO193" s="350"/>
      <c r="BP193" s="350"/>
      <c r="BQ193" s="350"/>
      <c r="BR193" s="350"/>
      <c r="BS193" s="350"/>
      <c r="BT193" s="350"/>
      <c r="BU193" s="350"/>
      <c r="BV193" s="350"/>
      <c r="BW193" s="350"/>
      <c r="BX193" s="350"/>
      <c r="BY193" s="350"/>
    </row>
    <row r="194">
      <c r="A194" s="716" t="s">
        <v>865</v>
      </c>
      <c r="B194" s="7"/>
      <c r="C194" s="7"/>
      <c r="D194" s="7"/>
      <c r="E194" s="7"/>
      <c r="F194" s="5"/>
      <c r="G194" s="708"/>
      <c r="H194" s="708"/>
      <c r="I194" s="709"/>
      <c r="J194" s="708"/>
      <c r="K194" s="710"/>
      <c r="L194" s="710"/>
      <c r="M194" s="708"/>
      <c r="N194" s="712"/>
      <c r="O194" s="5"/>
      <c r="P194" s="712"/>
      <c r="Q194" s="7"/>
      <c r="R194" s="7"/>
      <c r="S194" s="7"/>
      <c r="T194" s="5"/>
      <c r="U194" s="713" t="str">
        <f>IF('Info. Personagem'!R[-253]C[17]&lt;11,"Latent Wellspring","Latent Wellspring (2)")</f>
        <v>#ERROR!</v>
      </c>
      <c r="V194" s="714"/>
      <c r="W194" s="714"/>
      <c r="X194" s="714"/>
      <c r="Y194" s="714"/>
      <c r="Z194" s="712"/>
      <c r="AA194" s="7"/>
      <c r="AB194" s="7"/>
      <c r="AC194" s="7"/>
      <c r="AD194" s="5"/>
      <c r="AE194" s="713" t="str">
        <f>IF('Info. Personagem'!R[-253]C[7]&lt;11,"Latent Wellspring","Latent Wellspring (2)")</f>
        <v>#ERROR!</v>
      </c>
      <c r="AF194" s="714"/>
      <c r="AG194" s="714"/>
      <c r="AH194" s="708" t="s">
        <v>866</v>
      </c>
      <c r="AI194" s="710"/>
      <c r="AJ194" s="710"/>
      <c r="AK194" s="712"/>
      <c r="AL194" s="7"/>
      <c r="AM194" s="7"/>
      <c r="AN194" s="7"/>
      <c r="AO194" s="5"/>
      <c r="AP194" s="708" t="s">
        <v>867</v>
      </c>
      <c r="AQ194" s="708" t="s">
        <v>868</v>
      </c>
      <c r="AR194" s="710"/>
      <c r="AS194" s="710"/>
      <c r="AT194" s="710"/>
      <c r="AU194" s="710"/>
      <c r="AV194" s="710"/>
      <c r="AW194" s="717" t="s">
        <v>869</v>
      </c>
      <c r="AX194" s="7"/>
      <c r="AY194" s="7"/>
      <c r="AZ194" s="7"/>
      <c r="BA194" s="7"/>
      <c r="BB194" s="5"/>
      <c r="BC194" s="350"/>
      <c r="BD194" s="350"/>
      <c r="BE194" s="350"/>
      <c r="BF194" s="350"/>
      <c r="BG194" s="350"/>
      <c r="BH194" s="350"/>
      <c r="BI194" s="350"/>
      <c r="BJ194" s="350"/>
      <c r="BK194" s="350"/>
      <c r="BL194" s="350"/>
      <c r="BM194" s="350"/>
      <c r="BN194" s="350"/>
      <c r="BO194" s="350"/>
      <c r="BP194" s="350"/>
      <c r="BQ194" s="350"/>
      <c r="BR194" s="350"/>
      <c r="BS194" s="350"/>
      <c r="BT194" s="350"/>
      <c r="BU194" s="350"/>
      <c r="BV194" s="350"/>
      <c r="BW194" s="350"/>
      <c r="BX194" s="350"/>
      <c r="BY194" s="350"/>
    </row>
    <row r="195">
      <c r="A195" s="716" t="s">
        <v>870</v>
      </c>
      <c r="B195" s="7"/>
      <c r="C195" s="7"/>
      <c r="D195" s="7"/>
      <c r="E195" s="7"/>
      <c r="F195" s="5"/>
      <c r="G195" s="708"/>
      <c r="H195" s="708"/>
      <c r="I195" s="709"/>
      <c r="J195" s="708"/>
      <c r="K195" s="710"/>
      <c r="L195" s="710"/>
      <c r="M195" s="708"/>
      <c r="N195" s="712"/>
      <c r="O195" s="5"/>
      <c r="P195" s="712"/>
      <c r="Q195" s="7"/>
      <c r="R195" s="7"/>
      <c r="S195" s="7"/>
      <c r="T195" s="5"/>
      <c r="U195" s="713" t="s">
        <v>871</v>
      </c>
      <c r="V195" s="714"/>
      <c r="W195" s="714"/>
      <c r="X195" s="714"/>
      <c r="Y195" s="714"/>
      <c r="Z195" s="712"/>
      <c r="AA195" s="7"/>
      <c r="AB195" s="7"/>
      <c r="AC195" s="7"/>
      <c r="AD195" s="5"/>
      <c r="AE195" s="713" t="s">
        <v>871</v>
      </c>
      <c r="AF195" s="714"/>
      <c r="AG195" s="714"/>
      <c r="AH195" s="710"/>
      <c r="AI195" s="708" t="s">
        <v>872</v>
      </c>
      <c r="AJ195" s="708" t="s">
        <v>873</v>
      </c>
      <c r="AK195" s="712"/>
      <c r="AL195" s="7"/>
      <c r="AM195" s="7"/>
      <c r="AN195" s="7"/>
      <c r="AO195" s="5"/>
      <c r="AP195" s="708" t="s">
        <v>874</v>
      </c>
      <c r="AQ195" s="708" t="s">
        <v>875</v>
      </c>
      <c r="AR195" s="710"/>
      <c r="AS195" s="710"/>
      <c r="AT195" s="710"/>
      <c r="AU195" s="710"/>
      <c r="AV195" s="710"/>
      <c r="AW195" s="717" t="s">
        <v>876</v>
      </c>
      <c r="AX195" s="7"/>
      <c r="AY195" s="7"/>
      <c r="AZ195" s="7"/>
      <c r="BA195" s="7"/>
      <c r="BB195" s="5"/>
      <c r="BC195" s="350"/>
      <c r="BD195" s="350"/>
      <c r="BE195" s="350"/>
      <c r="BF195" s="350"/>
      <c r="BG195" s="350"/>
      <c r="BH195" s="350"/>
      <c r="BI195" s="350"/>
      <c r="BJ195" s="350"/>
      <c r="BK195" s="350"/>
      <c r="BL195" s="350"/>
      <c r="BM195" s="350"/>
      <c r="BN195" s="350"/>
      <c r="BO195" s="350"/>
      <c r="BP195" s="350"/>
      <c r="BQ195" s="350"/>
      <c r="BR195" s="350"/>
      <c r="BS195" s="350"/>
      <c r="BT195" s="350"/>
      <c r="BU195" s="350"/>
      <c r="BV195" s="350"/>
      <c r="BW195" s="350"/>
      <c r="BX195" s="350"/>
      <c r="BY195" s="350"/>
    </row>
    <row r="196">
      <c r="A196" s="716" t="s">
        <v>877</v>
      </c>
      <c r="B196" s="7"/>
      <c r="C196" s="7"/>
      <c r="D196" s="7"/>
      <c r="E196" s="7"/>
      <c r="F196" s="5"/>
      <c r="G196" s="708"/>
      <c r="H196" s="708"/>
      <c r="I196" s="709"/>
      <c r="J196" s="708"/>
      <c r="K196" s="708"/>
      <c r="L196" s="710"/>
      <c r="M196" s="710"/>
      <c r="N196" s="712"/>
      <c r="O196" s="5"/>
      <c r="P196" s="712"/>
      <c r="Q196" s="7"/>
      <c r="R196" s="7"/>
      <c r="S196" s="7"/>
      <c r="T196" s="5"/>
      <c r="U196" s="713" t="str">
        <f>IF('Info. Personagem'!R[-255]C[17]&lt;7,"Latent Lava Release",IF('Info. Personagem'!R[-255]C[17]&lt;15,"Latent Lava Release (2)","Latent Lava Release (3)" ))</f>
        <v>#ERROR!</v>
      </c>
      <c r="V196" s="714"/>
      <c r="W196" s="714"/>
      <c r="X196" s="714"/>
      <c r="Y196" s="714"/>
      <c r="Z196" s="712"/>
      <c r="AA196" s="7"/>
      <c r="AB196" s="7"/>
      <c r="AC196" s="7"/>
      <c r="AD196" s="5"/>
      <c r="AE196" s="713" t="str">
        <f>IF('Info. Personagem'!R[-255]C[7]&lt;7,"Latent Lava Release",IF('Info. Personagem'!R[-255]C[7]&lt;15,"Latent Lava Release (2)","Latent Lava Release (3)" ))</f>
        <v>#ERROR!</v>
      </c>
      <c r="AF196" s="714"/>
      <c r="AG196" s="714"/>
      <c r="AH196" s="708" t="s">
        <v>878</v>
      </c>
      <c r="AI196" s="710"/>
      <c r="AJ196" s="710"/>
      <c r="AK196" s="712"/>
      <c r="AL196" s="7"/>
      <c r="AM196" s="7"/>
      <c r="AN196" s="7"/>
      <c r="AO196" s="5"/>
      <c r="AP196" s="708" t="s">
        <v>879</v>
      </c>
      <c r="AQ196" s="708" t="s">
        <v>880</v>
      </c>
      <c r="AR196" s="710"/>
      <c r="AS196" s="710"/>
      <c r="AT196" s="710"/>
      <c r="AU196" s="710"/>
      <c r="AV196" s="710"/>
      <c r="AW196" s="717" t="s">
        <v>881</v>
      </c>
      <c r="AX196" s="7"/>
      <c r="AY196" s="7"/>
      <c r="AZ196" s="7"/>
      <c r="BA196" s="7"/>
      <c r="BB196" s="5"/>
      <c r="BC196" s="350"/>
      <c r="BD196" s="350"/>
      <c r="BE196" s="350"/>
      <c r="BF196" s="350"/>
      <c r="BG196" s="350"/>
      <c r="BH196" s="350"/>
      <c r="BI196" s="350"/>
      <c r="BJ196" s="350"/>
      <c r="BK196" s="350"/>
      <c r="BL196" s="350"/>
      <c r="BM196" s="350"/>
      <c r="BN196" s="350"/>
      <c r="BO196" s="350"/>
      <c r="BP196" s="350"/>
      <c r="BQ196" s="350"/>
      <c r="BR196" s="350"/>
      <c r="BS196" s="350"/>
      <c r="BT196" s="350"/>
      <c r="BU196" s="350"/>
      <c r="BV196" s="350"/>
      <c r="BW196" s="350"/>
      <c r="BX196" s="350"/>
      <c r="BY196" s="350"/>
    </row>
    <row r="197">
      <c r="A197" s="716" t="s">
        <v>882</v>
      </c>
      <c r="B197" s="7"/>
      <c r="C197" s="7"/>
      <c r="D197" s="7"/>
      <c r="E197" s="7"/>
      <c r="F197" s="5"/>
      <c r="G197" s="708"/>
      <c r="H197" s="708"/>
      <c r="I197" s="709"/>
      <c r="J197" s="708"/>
      <c r="K197" s="710"/>
      <c r="L197" s="710"/>
      <c r="M197" s="710"/>
      <c r="N197" s="712"/>
      <c r="O197" s="5"/>
      <c r="P197" s="712"/>
      <c r="Q197" s="7"/>
      <c r="R197" s="7"/>
      <c r="S197" s="7"/>
      <c r="T197" s="5"/>
      <c r="U197" s="713" t="str">
        <f>IF('Info. Personagem'!R[-256]C[17]&lt;7,"Latent Ice Release",IF('Info. Personagem'!R[-256]C[17]&lt;15,"Latent Ice Release (2)","Latent Ice Release (3)" ))</f>
        <v>#ERROR!</v>
      </c>
      <c r="V197" s="714"/>
      <c r="W197" s="714"/>
      <c r="X197" s="714"/>
      <c r="Y197" s="714"/>
      <c r="Z197" s="712"/>
      <c r="AA197" s="7"/>
      <c r="AB197" s="7"/>
      <c r="AC197" s="7"/>
      <c r="AD197" s="5"/>
      <c r="AE197" s="713" t="str">
        <f>IF('Info. Personagem'!R[-256]C[7]&lt;7,"Latent Ice Release",IF('Info. Personagem'!R[-256]C[7]&lt;15,"Latent Ice Release (2)","Latent Ice Release (3)" ))</f>
        <v>#ERROR!</v>
      </c>
      <c r="AF197" s="714"/>
      <c r="AG197" s="714"/>
      <c r="AH197" s="708" t="s">
        <v>883</v>
      </c>
      <c r="AI197" s="710"/>
      <c r="AJ197" s="710"/>
      <c r="AK197" s="712"/>
      <c r="AL197" s="7"/>
      <c r="AM197" s="7"/>
      <c r="AN197" s="7"/>
      <c r="AO197" s="5"/>
      <c r="AP197" s="708" t="s">
        <v>884</v>
      </c>
      <c r="AQ197" s="708" t="s">
        <v>885</v>
      </c>
      <c r="AR197" s="710"/>
      <c r="AS197" s="710"/>
      <c r="AT197" s="710"/>
      <c r="AU197" s="710"/>
      <c r="AV197" s="710"/>
      <c r="AW197" s="717" t="s">
        <v>886</v>
      </c>
      <c r="AX197" s="7"/>
      <c r="AY197" s="7"/>
      <c r="AZ197" s="7"/>
      <c r="BA197" s="7"/>
      <c r="BB197" s="5"/>
      <c r="BC197" s="350"/>
      <c r="BD197" s="350"/>
      <c r="BE197" s="350"/>
      <c r="BF197" s="350"/>
      <c r="BG197" s="350"/>
      <c r="BH197" s="350"/>
      <c r="BI197" s="350"/>
      <c r="BJ197" s="350"/>
      <c r="BK197" s="350"/>
      <c r="BL197" s="350"/>
      <c r="BM197" s="350"/>
      <c r="BN197" s="350"/>
      <c r="BO197" s="350"/>
      <c r="BP197" s="350"/>
      <c r="BQ197" s="350"/>
      <c r="BR197" s="350"/>
      <c r="BS197" s="350"/>
      <c r="BT197" s="350"/>
      <c r="BU197" s="350"/>
      <c r="BV197" s="350"/>
      <c r="BW197" s="350"/>
      <c r="BX197" s="350"/>
      <c r="BY197" s="350"/>
    </row>
    <row r="198">
      <c r="A198" s="716" t="s">
        <v>887</v>
      </c>
      <c r="B198" s="7"/>
      <c r="C198" s="7"/>
      <c r="D198" s="7"/>
      <c r="E198" s="7"/>
      <c r="F198" s="5"/>
      <c r="G198" s="708"/>
      <c r="H198" s="708"/>
      <c r="I198" s="709"/>
      <c r="J198" s="708"/>
      <c r="K198" s="710"/>
      <c r="L198" s="710"/>
      <c r="M198" s="710"/>
      <c r="N198" s="712"/>
      <c r="O198" s="5"/>
      <c r="P198" s="712"/>
      <c r="Q198" s="7"/>
      <c r="R198" s="7"/>
      <c r="S198" s="7"/>
      <c r="T198" s="5"/>
      <c r="U198" s="713" t="str">
        <f>IF('Info. Personagem'!R[-257]C[17]&lt;7,"Sanguine Prowess","Sanguine Prowess (2)")</f>
        <v>#ERROR!</v>
      </c>
      <c r="V198" s="714"/>
      <c r="W198" s="714"/>
      <c r="X198" s="714"/>
      <c r="Y198" s="714"/>
      <c r="Z198" s="712"/>
      <c r="AA198" s="7"/>
      <c r="AB198" s="7"/>
      <c r="AC198" s="7"/>
      <c r="AD198" s="5"/>
      <c r="AE198" s="718" t="str">
        <f>IF('Info. Personagem'!R[-257]C[7]&lt;7,"Sanguine Prowess","Sanguine Prowess (2)")</f>
        <v>#ERROR!</v>
      </c>
      <c r="AF198" s="714"/>
      <c r="AG198" s="714"/>
      <c r="AH198" s="708" t="s">
        <v>888</v>
      </c>
      <c r="AI198" s="710"/>
      <c r="AJ198" s="710"/>
      <c r="AK198" s="712"/>
      <c r="AL198" s="7"/>
      <c r="AM198" s="7"/>
      <c r="AN198" s="7"/>
      <c r="AO198" s="5"/>
      <c r="AP198" s="710"/>
      <c r="AQ198" s="710"/>
      <c r="AR198" s="710"/>
      <c r="AS198" s="710"/>
      <c r="AT198" s="710"/>
      <c r="AU198" s="710"/>
      <c r="AV198" s="710"/>
      <c r="AW198" s="717" t="s">
        <v>889</v>
      </c>
      <c r="AX198" s="7"/>
      <c r="AY198" s="7"/>
      <c r="AZ198" s="7"/>
      <c r="BA198" s="7"/>
      <c r="BB198" s="5"/>
      <c r="BC198" s="350"/>
      <c r="BD198" s="350"/>
      <c r="BE198" s="350"/>
      <c r="BF198" s="350"/>
      <c r="BG198" s="350"/>
      <c r="BH198" s="350"/>
      <c r="BI198" s="350"/>
      <c r="BJ198" s="350"/>
      <c r="BK198" s="350"/>
      <c r="BL198" s="350"/>
      <c r="BM198" s="350"/>
      <c r="BN198" s="350"/>
      <c r="BO198" s="350"/>
      <c r="BP198" s="350"/>
      <c r="BQ198" s="350"/>
      <c r="BR198" s="350"/>
      <c r="BS198" s="350"/>
      <c r="BT198" s="350"/>
      <c r="BU198" s="350"/>
      <c r="BV198" s="350"/>
      <c r="BW198" s="350"/>
      <c r="BX198" s="350"/>
      <c r="BY198" s="350"/>
    </row>
    <row r="199">
      <c r="A199" s="716" t="s">
        <v>890</v>
      </c>
      <c r="B199" s="7"/>
      <c r="C199" s="7"/>
      <c r="D199" s="7"/>
      <c r="E199" s="7"/>
      <c r="F199" s="5"/>
      <c r="G199" s="719"/>
      <c r="H199" s="719"/>
      <c r="I199" s="720"/>
      <c r="J199" s="708"/>
      <c r="K199" s="644"/>
      <c r="L199" s="644"/>
      <c r="M199" s="644"/>
      <c r="N199" s="712"/>
      <c r="O199" s="5"/>
      <c r="P199" s="721"/>
      <c r="Q199" s="7"/>
      <c r="R199" s="7"/>
      <c r="S199" s="7"/>
      <c r="T199" s="5"/>
      <c r="U199" s="713" t="s">
        <v>891</v>
      </c>
      <c r="V199" s="714"/>
      <c r="W199" s="714"/>
      <c r="X199" s="714"/>
      <c r="Y199" s="714"/>
      <c r="Z199" s="721"/>
      <c r="AA199" s="7"/>
      <c r="AB199" s="7"/>
      <c r="AC199" s="7"/>
      <c r="AD199" s="5"/>
      <c r="AE199" s="713" t="s">
        <v>891</v>
      </c>
      <c r="AF199" s="714"/>
      <c r="AG199" s="714"/>
      <c r="AH199" s="708" t="s">
        <v>892</v>
      </c>
      <c r="AI199" s="710"/>
      <c r="AJ199" s="710"/>
      <c r="AK199" s="712"/>
      <c r="AL199" s="7"/>
      <c r="AM199" s="7"/>
      <c r="AN199" s="7"/>
      <c r="AO199" s="5"/>
      <c r="AP199" s="644"/>
      <c r="AQ199" s="644"/>
      <c r="AR199" s="644"/>
      <c r="AS199" s="644"/>
      <c r="AT199" s="644"/>
      <c r="AU199" s="644"/>
      <c r="AV199" s="710"/>
      <c r="AW199" s="722" t="s">
        <v>893</v>
      </c>
      <c r="AX199" s="7"/>
      <c r="AY199" s="7"/>
      <c r="AZ199" s="7"/>
      <c r="BA199" s="7"/>
      <c r="BB199" s="5"/>
      <c r="BC199" s="350"/>
      <c r="BD199" s="350"/>
      <c r="BE199" s="350"/>
      <c r="BF199" s="350"/>
      <c r="BG199" s="350"/>
      <c r="BH199" s="350"/>
      <c r="BI199" s="350"/>
      <c r="BJ199" s="350"/>
      <c r="BK199" s="350"/>
      <c r="BL199" s="350"/>
      <c r="BM199" s="350"/>
      <c r="BN199" s="350"/>
      <c r="BO199" s="350"/>
      <c r="BP199" s="350"/>
      <c r="BQ199" s="350"/>
      <c r="BR199" s="350"/>
      <c r="BS199" s="350"/>
      <c r="BT199" s="350"/>
      <c r="BU199" s="350"/>
      <c r="BV199" s="350"/>
      <c r="BW199" s="350"/>
      <c r="BX199" s="350"/>
      <c r="BY199" s="350"/>
    </row>
    <row r="200">
      <c r="A200" s="723" t="s">
        <v>894</v>
      </c>
      <c r="B200" s="31"/>
      <c r="C200" s="31"/>
      <c r="D200" s="31"/>
      <c r="E200" s="31"/>
      <c r="F200" s="22"/>
      <c r="G200" s="724"/>
      <c r="H200" s="725"/>
      <c r="I200" s="726"/>
      <c r="J200" s="710"/>
      <c r="K200" s="724"/>
      <c r="L200" s="727"/>
      <c r="M200" s="727"/>
      <c r="N200" s="712"/>
      <c r="O200" s="5"/>
      <c r="P200" s="728"/>
      <c r="Q200" s="31"/>
      <c r="R200" s="31"/>
      <c r="S200" s="31"/>
      <c r="T200" s="22"/>
      <c r="U200" s="713" t="str">
        <f>IF('Info. Personagem'!R[-259]C[17]&lt;7,"Latent Destruction Release",IF('Info. Personagem'!R[-259]C[17]&lt;15,"Latent Destruction Release (2)","Latent Destruction Release (3)" ))</f>
        <v>#ERROR!</v>
      </c>
      <c r="V200" s="714"/>
      <c r="W200" s="714"/>
      <c r="X200" s="714"/>
      <c r="Y200" s="714"/>
      <c r="Z200" s="728"/>
      <c r="AA200" s="31"/>
      <c r="AB200" s="31"/>
      <c r="AC200" s="31"/>
      <c r="AD200" s="22"/>
      <c r="AE200" s="718" t="str">
        <f>IF('Info. Personagem'!R[-259]C[7]&lt;7,"Latent Destruction Release",IF('Info. Personagem'!R[-259]C[7]&lt;15,"Latent Destruction Release (2)","Latent Destruction Release (3)" ))</f>
        <v>#ERROR!</v>
      </c>
      <c r="AF200" s="714"/>
      <c r="AG200" s="714"/>
      <c r="AH200" s="708" t="s">
        <v>895</v>
      </c>
      <c r="AI200" s="710"/>
      <c r="AJ200" s="727"/>
      <c r="AK200" s="712"/>
      <c r="AL200" s="7"/>
      <c r="AM200" s="7"/>
      <c r="AN200" s="7"/>
      <c r="AO200" s="5"/>
      <c r="AP200" s="727"/>
      <c r="AQ200" s="727"/>
      <c r="AR200" s="727"/>
      <c r="AS200" s="727"/>
      <c r="AT200" s="727"/>
      <c r="AU200" s="727"/>
      <c r="AV200" s="710"/>
      <c r="AW200" s="729" t="s">
        <v>896</v>
      </c>
      <c r="AX200" s="31"/>
      <c r="AY200" s="31"/>
      <c r="AZ200" s="31"/>
      <c r="BA200" s="31"/>
      <c r="BB200" s="22"/>
      <c r="BC200" s="350"/>
      <c r="BD200" s="350"/>
      <c r="BE200" s="350"/>
      <c r="BF200" s="350"/>
      <c r="BG200" s="350"/>
      <c r="BH200" s="350"/>
      <c r="BI200" s="350"/>
      <c r="BJ200" s="350"/>
      <c r="BK200" s="350"/>
      <c r="BL200" s="350"/>
      <c r="BM200" s="350"/>
      <c r="BN200" s="350"/>
      <c r="BO200" s="350"/>
      <c r="BP200" s="350"/>
      <c r="BQ200" s="350"/>
      <c r="BR200" s="350"/>
      <c r="BS200" s="350"/>
      <c r="BT200" s="350"/>
      <c r="BU200" s="350"/>
      <c r="BV200" s="350"/>
      <c r="BW200" s="350"/>
      <c r="BX200" s="350"/>
      <c r="BY200" s="350"/>
    </row>
    <row r="201">
      <c r="A201" s="723" t="s">
        <v>897</v>
      </c>
      <c r="B201" s="31"/>
      <c r="C201" s="31"/>
      <c r="D201" s="31"/>
      <c r="E201" s="31"/>
      <c r="F201" s="22"/>
      <c r="G201" s="724"/>
      <c r="H201" s="725"/>
      <c r="I201" s="726"/>
      <c r="J201" s="708"/>
      <c r="K201" s="727"/>
      <c r="L201" s="725"/>
      <c r="M201" s="724"/>
      <c r="N201" s="712"/>
      <c r="O201" s="5"/>
      <c r="P201" s="728"/>
      <c r="Q201" s="31"/>
      <c r="R201" s="31"/>
      <c r="S201" s="31"/>
      <c r="T201" s="22"/>
      <c r="U201" s="713" t="str">
        <f>"Combat Medicine"&amp;IF('Info. Personagem'!R[-260]C[17]&lt;9,"",",Powerful Medicine")</f>
        <v>#ERROR!</v>
      </c>
      <c r="V201" s="714"/>
      <c r="W201" s="714"/>
      <c r="X201" s="714"/>
      <c r="Y201" s="714"/>
      <c r="Z201" s="728"/>
      <c r="AA201" s="31"/>
      <c r="AB201" s="31"/>
      <c r="AC201" s="31"/>
      <c r="AD201" s="22"/>
      <c r="AE201" s="718" t="str">
        <f>"Combat Medicine (2)"&amp;IF('Info. Personagem'!R[-260]C[7]&lt;9,"",",Powerful Medicine")</f>
        <v>#ERROR!</v>
      </c>
      <c r="AF201" s="714"/>
      <c r="AG201" s="714"/>
      <c r="AH201" s="710" t="str">
        <f>IF('Info. Personagem'!R[-260]C[4]&lt;16,"","Hardened Body Hardend Mind")</f>
        <v>#ERROR!</v>
      </c>
      <c r="AI201" s="710"/>
      <c r="AJ201" s="727"/>
      <c r="AK201" s="712"/>
      <c r="AL201" s="7"/>
      <c r="AM201" s="7"/>
      <c r="AN201" s="7"/>
      <c r="AO201" s="5"/>
      <c r="AP201" s="727"/>
      <c r="AQ201" s="727"/>
      <c r="AR201" s="727"/>
      <c r="AS201" s="727"/>
      <c r="AT201" s="727"/>
      <c r="AU201" s="727"/>
      <c r="AV201" s="710"/>
      <c r="AW201" s="729" t="s">
        <v>898</v>
      </c>
      <c r="AX201" s="31"/>
      <c r="AY201" s="31"/>
      <c r="AZ201" s="31"/>
      <c r="BA201" s="31"/>
      <c r="BB201" s="22"/>
      <c r="BC201" s="350"/>
      <c r="BD201" s="350"/>
      <c r="BE201" s="350"/>
      <c r="BF201" s="350"/>
      <c r="BG201" s="350"/>
      <c r="BH201" s="350"/>
      <c r="BI201" s="350"/>
      <c r="BJ201" s="350"/>
      <c r="BK201" s="350"/>
      <c r="BL201" s="350"/>
      <c r="BM201" s="350"/>
      <c r="BN201" s="350"/>
      <c r="BO201" s="350"/>
      <c r="BP201" s="350"/>
      <c r="BQ201" s="350"/>
      <c r="BR201" s="350"/>
      <c r="BS201" s="350"/>
      <c r="BT201" s="350"/>
      <c r="BU201" s="350"/>
      <c r="BV201" s="350"/>
      <c r="BW201" s="350"/>
      <c r="BX201" s="350"/>
      <c r="BY201" s="350"/>
    </row>
    <row r="202">
      <c r="A202" s="723" t="s">
        <v>899</v>
      </c>
      <c r="B202" s="31"/>
      <c r="C202" s="31"/>
      <c r="D202" s="31"/>
      <c r="E202" s="31"/>
      <c r="F202" s="22"/>
      <c r="G202" s="724"/>
      <c r="H202" s="725"/>
      <c r="I202" s="726"/>
      <c r="J202" s="724"/>
      <c r="K202" s="727"/>
      <c r="L202" s="727"/>
      <c r="M202" s="727"/>
      <c r="N202" s="712"/>
      <c r="O202" s="5"/>
      <c r="P202" s="728"/>
      <c r="Q202" s="31"/>
      <c r="R202" s="31"/>
      <c r="S202" s="31"/>
      <c r="T202" s="22"/>
      <c r="U202" s="713" t="s">
        <v>900</v>
      </c>
      <c r="V202" s="714"/>
      <c r="W202" s="714"/>
      <c r="X202" s="714"/>
      <c r="Y202" s="714"/>
      <c r="Z202" s="728"/>
      <c r="AA202" s="31"/>
      <c r="AB202" s="31"/>
      <c r="AC202" s="31"/>
      <c r="AD202" s="22"/>
      <c r="AE202" s="718" t="s">
        <v>900</v>
      </c>
      <c r="AF202" s="714"/>
      <c r="AG202" s="714"/>
      <c r="AH202" s="708" t="s">
        <v>901</v>
      </c>
      <c r="AI202" s="710"/>
      <c r="AJ202" s="727"/>
      <c r="AK202" s="712"/>
      <c r="AL202" s="7"/>
      <c r="AM202" s="7"/>
      <c r="AN202" s="7"/>
      <c r="AO202" s="5"/>
      <c r="AP202" s="727"/>
      <c r="AQ202" s="727"/>
      <c r="AR202" s="727"/>
      <c r="AS202" s="727"/>
      <c r="AT202" s="727"/>
      <c r="AU202" s="727"/>
      <c r="AV202" s="710"/>
      <c r="AW202" s="729" t="s">
        <v>902</v>
      </c>
      <c r="AX202" s="31"/>
      <c r="AY202" s="31"/>
      <c r="AZ202" s="31"/>
      <c r="BA202" s="31"/>
      <c r="BB202" s="22"/>
      <c r="BC202" s="350"/>
      <c r="BD202" s="350"/>
      <c r="BE202" s="350"/>
      <c r="BF202" s="350"/>
      <c r="BG202" s="350"/>
      <c r="BH202" s="350"/>
      <c r="BI202" s="350"/>
      <c r="BJ202" s="350"/>
      <c r="BK202" s="350"/>
      <c r="BL202" s="350"/>
      <c r="BM202" s="350"/>
      <c r="BN202" s="350"/>
      <c r="BO202" s="350"/>
      <c r="BP202" s="350"/>
      <c r="BQ202" s="350"/>
      <c r="BR202" s="350"/>
      <c r="BS202" s="350"/>
      <c r="BT202" s="350"/>
      <c r="BU202" s="350"/>
      <c r="BV202" s="350"/>
      <c r="BW202" s="350"/>
      <c r="BX202" s="350"/>
      <c r="BY202" s="350"/>
    </row>
    <row r="203">
      <c r="A203" s="723" t="s">
        <v>903</v>
      </c>
      <c r="B203" s="31"/>
      <c r="C203" s="31"/>
      <c r="D203" s="31"/>
      <c r="E203" s="31"/>
      <c r="F203" s="22"/>
      <c r="G203" s="724"/>
      <c r="H203" s="724"/>
      <c r="I203" s="726"/>
      <c r="J203" s="724"/>
      <c r="K203" s="725"/>
      <c r="L203" s="727"/>
      <c r="M203" s="727"/>
      <c r="N203" s="712"/>
      <c r="O203" s="5"/>
      <c r="P203" s="728"/>
      <c r="Q203" s="31"/>
      <c r="R203" s="31"/>
      <c r="S203" s="31"/>
      <c r="T203" s="22"/>
      <c r="U203" s="713" t="str">
        <f>IF('Info. Personagem'!R[-262]C[17]&lt;7,"Latent Plasma Release",IF('Info. Personagem'!R[-262]C[17]&lt;15,"Latent Plasma Release (2)","Latent Plasma Release (3)" ))&amp;",Enlightening Grasp"</f>
        <v>#ERROR!</v>
      </c>
      <c r="V203" s="714"/>
      <c r="W203" s="714"/>
      <c r="X203" s="714"/>
      <c r="Y203" s="714"/>
      <c r="Z203" s="728"/>
      <c r="AA203" s="31"/>
      <c r="AB203" s="31"/>
      <c r="AC203" s="31"/>
      <c r="AD203" s="22"/>
      <c r="AE203" s="718" t="str">
        <f>IF('Info. Personagem'!R[-262]C[7]&lt;7,"Latent Plasma Release",IF('Info. Personagem'!R[-262]C[7]&lt;15,"Latent Plasma Release (2)","Latent Plasma Release (3)" ))&amp;",Enlightening Grasp"</f>
        <v>#ERROR!</v>
      </c>
      <c r="AF203" s="714"/>
      <c r="AG203" s="714"/>
      <c r="AH203" s="708" t="s">
        <v>904</v>
      </c>
      <c r="AI203" s="710"/>
      <c r="AJ203" s="727"/>
      <c r="AK203" s="712"/>
      <c r="AL203" s="7"/>
      <c r="AM203" s="7"/>
      <c r="AN203" s="7"/>
      <c r="AO203" s="5"/>
      <c r="AP203" s="727"/>
      <c r="AQ203" s="727"/>
      <c r="AR203" s="727"/>
      <c r="AS203" s="727"/>
      <c r="AT203" s="727"/>
      <c r="AU203" s="727"/>
      <c r="AV203" s="710"/>
      <c r="AW203" s="729" t="s">
        <v>905</v>
      </c>
      <c r="AX203" s="31"/>
      <c r="AY203" s="31"/>
      <c r="AZ203" s="31"/>
      <c r="BA203" s="31"/>
      <c r="BB203" s="22"/>
      <c r="BC203" s="350"/>
      <c r="BD203" s="350"/>
      <c r="BE203" s="350"/>
      <c r="BF203" s="350"/>
      <c r="BG203" s="350"/>
      <c r="BH203" s="350"/>
      <c r="BI203" s="350"/>
      <c r="BJ203" s="350"/>
      <c r="BK203" s="350"/>
      <c r="BL203" s="350"/>
      <c r="BM203" s="350"/>
      <c r="BN203" s="350"/>
      <c r="BO203" s="350"/>
      <c r="BP203" s="350"/>
      <c r="BQ203" s="350"/>
      <c r="BR203" s="350"/>
      <c r="BS203" s="350"/>
      <c r="BT203" s="350"/>
      <c r="BU203" s="350"/>
      <c r="BV203" s="350"/>
      <c r="BW203" s="350"/>
      <c r="BX203" s="350"/>
      <c r="BY203" s="350"/>
    </row>
    <row r="204">
      <c r="A204" s="723" t="s">
        <v>906</v>
      </c>
      <c r="B204" s="31"/>
      <c r="C204" s="31"/>
      <c r="D204" s="31"/>
      <c r="E204" s="31"/>
      <c r="F204" s="22"/>
      <c r="G204" s="724"/>
      <c r="H204" s="725"/>
      <c r="I204" s="726"/>
      <c r="J204" s="724"/>
      <c r="K204" s="724"/>
      <c r="L204" s="727"/>
      <c r="M204" s="727"/>
      <c r="N204" s="712"/>
      <c r="O204" s="5"/>
      <c r="P204" s="728"/>
      <c r="Q204" s="31"/>
      <c r="R204" s="31"/>
      <c r="S204" s="31"/>
      <c r="T204" s="22"/>
      <c r="U204" s="713" t="s">
        <v>907</v>
      </c>
      <c r="V204" s="718" t="s">
        <v>908</v>
      </c>
      <c r="W204" s="714"/>
      <c r="X204" s="714"/>
      <c r="Y204" s="714"/>
      <c r="Z204" s="728"/>
      <c r="AA204" s="31"/>
      <c r="AB204" s="31"/>
      <c r="AC204" s="31"/>
      <c r="AD204" s="22"/>
      <c r="AE204" s="713" t="s">
        <v>907</v>
      </c>
      <c r="AF204" s="718" t="s">
        <v>908</v>
      </c>
      <c r="AG204" s="714"/>
      <c r="AH204" s="708" t="s">
        <v>909</v>
      </c>
      <c r="AI204" s="710"/>
      <c r="AJ204" s="727"/>
      <c r="AK204" s="712"/>
      <c r="AL204" s="7"/>
      <c r="AM204" s="7"/>
      <c r="AN204" s="7"/>
      <c r="AO204" s="5"/>
      <c r="AP204" s="727"/>
      <c r="AQ204" s="727"/>
      <c r="AR204" s="727"/>
      <c r="AS204" s="727"/>
      <c r="AT204" s="727"/>
      <c r="AU204" s="727"/>
      <c r="AV204" s="710"/>
      <c r="AW204" s="729" t="s">
        <v>910</v>
      </c>
      <c r="AX204" s="31"/>
      <c r="AY204" s="31"/>
      <c r="AZ204" s="31"/>
      <c r="BA204" s="31"/>
      <c r="BB204" s="22"/>
      <c r="BC204" s="350"/>
      <c r="BD204" s="350"/>
      <c r="BE204" s="350"/>
      <c r="BF204" s="350"/>
      <c r="BG204" s="350"/>
      <c r="BH204" s="350"/>
      <c r="BI204" s="350"/>
      <c r="BJ204" s="350"/>
      <c r="BK204" s="350"/>
      <c r="BL204" s="350"/>
      <c r="BM204" s="350"/>
      <c r="BN204" s="350"/>
      <c r="BO204" s="350"/>
      <c r="BP204" s="350"/>
      <c r="BQ204" s="350"/>
      <c r="BR204" s="350"/>
      <c r="BS204" s="350"/>
      <c r="BT204" s="350"/>
      <c r="BU204" s="350"/>
      <c r="BV204" s="350"/>
      <c r="BW204" s="350"/>
      <c r="BX204" s="350"/>
      <c r="BY204" s="350"/>
    </row>
    <row r="205">
      <c r="A205" s="723" t="s">
        <v>911</v>
      </c>
      <c r="B205" s="31"/>
      <c r="C205" s="31"/>
      <c r="D205" s="31"/>
      <c r="E205" s="31"/>
      <c r="F205" s="22"/>
      <c r="G205" s="724"/>
      <c r="H205" s="724"/>
      <c r="I205" s="726"/>
      <c r="J205" s="724"/>
      <c r="K205" s="725"/>
      <c r="L205" s="727"/>
      <c r="M205" s="727"/>
      <c r="N205" s="712"/>
      <c r="O205" s="5"/>
      <c r="P205" s="728"/>
      <c r="Q205" s="31"/>
      <c r="R205" s="31"/>
      <c r="S205" s="31"/>
      <c r="T205" s="22"/>
      <c r="U205" s="713" t="s">
        <v>912</v>
      </c>
      <c r="V205" s="714"/>
      <c r="W205" s="714"/>
      <c r="X205" s="714"/>
      <c r="Y205" s="714"/>
      <c r="Z205" s="728"/>
      <c r="AA205" s="31"/>
      <c r="AB205" s="31"/>
      <c r="AC205" s="31"/>
      <c r="AD205" s="22"/>
      <c r="AE205" s="713" t="s">
        <v>912</v>
      </c>
      <c r="AF205" s="714"/>
      <c r="AG205" s="714"/>
      <c r="AH205" s="708" t="s">
        <v>913</v>
      </c>
      <c r="AI205" s="710"/>
      <c r="AJ205" s="727"/>
      <c r="AK205" s="712"/>
      <c r="AL205" s="7"/>
      <c r="AM205" s="7"/>
      <c r="AN205" s="7"/>
      <c r="AO205" s="5"/>
      <c r="AP205" s="727"/>
      <c r="AQ205" s="727"/>
      <c r="AR205" s="727"/>
      <c r="AS205" s="727"/>
      <c r="AT205" s="727"/>
      <c r="AU205" s="727"/>
      <c r="AV205" s="710"/>
      <c r="AW205" s="729" t="s">
        <v>914</v>
      </c>
      <c r="AX205" s="31"/>
      <c r="AY205" s="31"/>
      <c r="AZ205" s="31"/>
      <c r="BA205" s="31"/>
      <c r="BB205" s="22"/>
      <c r="BC205" s="350"/>
      <c r="BD205" s="350"/>
      <c r="BE205" s="350"/>
      <c r="BF205" s="350"/>
      <c r="BG205" s="350"/>
      <c r="BH205" s="350"/>
      <c r="BI205" s="350"/>
      <c r="BJ205" s="350"/>
      <c r="BK205" s="350"/>
      <c r="BL205" s="350"/>
      <c r="BM205" s="350"/>
      <c r="BN205" s="350"/>
      <c r="BO205" s="350"/>
      <c r="BP205" s="350"/>
      <c r="BQ205" s="350"/>
      <c r="BR205" s="350"/>
      <c r="BS205" s="350"/>
      <c r="BT205" s="350"/>
      <c r="BU205" s="350"/>
      <c r="BV205" s="350"/>
      <c r="BW205" s="350"/>
      <c r="BX205" s="350"/>
      <c r="BY205" s="350"/>
    </row>
    <row r="206">
      <c r="A206" s="723" t="s">
        <v>915</v>
      </c>
      <c r="B206" s="31"/>
      <c r="C206" s="31"/>
      <c r="D206" s="31"/>
      <c r="E206" s="31"/>
      <c r="F206" s="22"/>
      <c r="G206" s="724"/>
      <c r="H206" s="724"/>
      <c r="I206" s="726"/>
      <c r="J206" s="724"/>
      <c r="K206" s="727"/>
      <c r="L206" s="727"/>
      <c r="M206" s="727"/>
      <c r="N206" s="712"/>
      <c r="O206" s="5"/>
      <c r="P206" s="728"/>
      <c r="Q206" s="31"/>
      <c r="R206" s="31"/>
      <c r="S206" s="31"/>
      <c r="T206" s="22"/>
      <c r="U206" s="713" t="s">
        <v>916</v>
      </c>
      <c r="V206" s="718" t="s">
        <v>917</v>
      </c>
      <c r="W206" s="714"/>
      <c r="X206" s="714"/>
      <c r="Y206" s="714"/>
      <c r="Z206" s="728"/>
      <c r="AA206" s="31"/>
      <c r="AB206" s="31"/>
      <c r="AC206" s="31"/>
      <c r="AD206" s="22"/>
      <c r="AE206" s="713" t="s">
        <v>918</v>
      </c>
      <c r="AF206" s="718" t="str">
        <f>IF('Info. Personagem'!R[-265]C[6]&lt;18,"Infinity","Infinity (2)" )</f>
        <v>#ERROR!</v>
      </c>
      <c r="AG206" s="714"/>
      <c r="AH206" s="710"/>
      <c r="AI206" s="710"/>
      <c r="AJ206" s="727"/>
      <c r="AK206" s="712"/>
      <c r="AL206" s="7"/>
      <c r="AM206" s="7"/>
      <c r="AN206" s="7"/>
      <c r="AO206" s="5"/>
      <c r="AP206" s="727"/>
      <c r="AQ206" s="727"/>
      <c r="AR206" s="727"/>
      <c r="AS206" s="727"/>
      <c r="AT206" s="727"/>
      <c r="AU206" s="727"/>
      <c r="AV206" s="710"/>
      <c r="AW206" s="729" t="s">
        <v>919</v>
      </c>
      <c r="AX206" s="31"/>
      <c r="AY206" s="31"/>
      <c r="AZ206" s="31"/>
      <c r="BA206" s="31"/>
      <c r="BB206" s="22"/>
      <c r="BC206" s="350"/>
      <c r="BD206" s="350"/>
      <c r="BE206" s="350"/>
      <c r="BF206" s="350"/>
      <c r="BG206" s="350"/>
      <c r="BH206" s="350"/>
      <c r="BI206" s="350"/>
      <c r="BJ206" s="350"/>
      <c r="BK206" s="350"/>
      <c r="BL206" s="350"/>
      <c r="BM206" s="350"/>
      <c r="BN206" s="350"/>
      <c r="BO206" s="350"/>
      <c r="BP206" s="350"/>
      <c r="BQ206" s="350"/>
      <c r="BR206" s="350"/>
      <c r="BS206" s="350"/>
      <c r="BT206" s="350"/>
      <c r="BU206" s="350"/>
      <c r="BV206" s="350"/>
      <c r="BW206" s="350"/>
      <c r="BX206" s="350"/>
      <c r="BY206" s="350"/>
    </row>
    <row r="207">
      <c r="A207" s="723" t="s">
        <v>920</v>
      </c>
      <c r="B207" s="31"/>
      <c r="C207" s="31"/>
      <c r="D207" s="31"/>
      <c r="E207" s="31"/>
      <c r="F207" s="22"/>
      <c r="G207" s="724"/>
      <c r="H207" s="724"/>
      <c r="I207" s="726"/>
      <c r="J207" s="724"/>
      <c r="K207" s="727"/>
      <c r="L207" s="727"/>
      <c r="M207" s="727"/>
      <c r="N207" s="712"/>
      <c r="O207" s="5"/>
      <c r="P207" s="728"/>
      <c r="Q207" s="31"/>
      <c r="R207" s="31"/>
      <c r="S207" s="31"/>
      <c r="T207" s="22"/>
      <c r="U207" s="713" t="s">
        <v>921</v>
      </c>
      <c r="V207" s="714"/>
      <c r="W207" s="714"/>
      <c r="X207" s="714"/>
      <c r="Y207" s="714"/>
      <c r="Z207" s="728"/>
      <c r="AA207" s="31"/>
      <c r="AB207" s="31"/>
      <c r="AC207" s="31"/>
      <c r="AD207" s="22"/>
      <c r="AE207" s="713" t="str">
        <f>"Soft Physique Modification,"&amp;IF('Info. Personagem'!R[-266]C[7]&lt;15,"Raw Chakra Form (2)","Raw Charka Form (3)")</f>
        <v>#ERROR!</v>
      </c>
      <c r="AF207" s="714"/>
      <c r="AG207" s="714"/>
      <c r="AH207" s="708" t="s">
        <v>922</v>
      </c>
      <c r="AI207" s="710"/>
      <c r="AJ207" s="727"/>
      <c r="AK207" s="712"/>
      <c r="AL207" s="7"/>
      <c r="AM207" s="7"/>
      <c r="AN207" s="7"/>
      <c r="AO207" s="5"/>
      <c r="AP207" s="727"/>
      <c r="AQ207" s="727"/>
      <c r="AR207" s="727"/>
      <c r="AS207" s="727"/>
      <c r="AT207" s="727"/>
      <c r="AU207" s="727"/>
      <c r="AV207" s="710"/>
      <c r="AW207" s="729" t="s">
        <v>923</v>
      </c>
      <c r="AX207" s="31"/>
      <c r="AY207" s="31"/>
      <c r="AZ207" s="31"/>
      <c r="BA207" s="31"/>
      <c r="BB207" s="22"/>
      <c r="BC207" s="350"/>
      <c r="BD207" s="350"/>
      <c r="BE207" s="350"/>
      <c r="BF207" s="350"/>
      <c r="BG207" s="350"/>
      <c r="BH207" s="350"/>
      <c r="BI207" s="350"/>
      <c r="BJ207" s="350"/>
      <c r="BK207" s="350"/>
      <c r="BL207" s="350"/>
      <c r="BM207" s="350"/>
      <c r="BN207" s="350"/>
      <c r="BO207" s="350"/>
      <c r="BP207" s="350"/>
      <c r="BQ207" s="350"/>
      <c r="BR207" s="350"/>
      <c r="BS207" s="350"/>
      <c r="BT207" s="350"/>
      <c r="BU207" s="350"/>
      <c r="BV207" s="350"/>
      <c r="BW207" s="350"/>
      <c r="BX207" s="350"/>
      <c r="BY207" s="350"/>
    </row>
    <row r="208">
      <c r="A208" s="723" t="s">
        <v>924</v>
      </c>
      <c r="B208" s="31"/>
      <c r="C208" s="31"/>
      <c r="D208" s="31"/>
      <c r="E208" s="31"/>
      <c r="F208" s="22"/>
      <c r="G208" s="724"/>
      <c r="H208" s="724"/>
      <c r="I208" s="726"/>
      <c r="J208" s="727"/>
      <c r="K208" s="727"/>
      <c r="L208" s="727"/>
      <c r="M208" s="727"/>
      <c r="N208" s="712"/>
      <c r="O208" s="5"/>
      <c r="P208" s="728"/>
      <c r="Q208" s="31"/>
      <c r="R208" s="31"/>
      <c r="S208" s="31"/>
      <c r="T208" s="22"/>
      <c r="U208" s="713" t="s">
        <v>925</v>
      </c>
      <c r="V208" s="718" t="s">
        <v>926</v>
      </c>
      <c r="W208" s="714"/>
      <c r="X208" s="714"/>
      <c r="Y208" s="714"/>
      <c r="Z208" s="728"/>
      <c r="AA208" s="31"/>
      <c r="AB208" s="31"/>
      <c r="AC208" s="31"/>
      <c r="AD208" s="22"/>
      <c r="AE208" s="713" t="s">
        <v>925</v>
      </c>
      <c r="AF208" s="718" t="s">
        <v>927</v>
      </c>
      <c r="AG208" s="714"/>
      <c r="AH208" s="710"/>
      <c r="AI208" s="710"/>
      <c r="AJ208" s="727"/>
      <c r="AK208" s="712"/>
      <c r="AL208" s="7"/>
      <c r="AM208" s="7"/>
      <c r="AN208" s="7"/>
      <c r="AO208" s="5"/>
      <c r="AP208" s="727"/>
      <c r="AQ208" s="727"/>
      <c r="AR208" s="727"/>
      <c r="AS208" s="727"/>
      <c r="AT208" s="727"/>
      <c r="AU208" s="727"/>
      <c r="AV208" s="710"/>
      <c r="AW208" s="717" t="s">
        <v>928</v>
      </c>
      <c r="AX208" s="7"/>
      <c r="AY208" s="7"/>
      <c r="AZ208" s="7"/>
      <c r="BA208" s="7"/>
      <c r="BB208" s="5"/>
      <c r="BC208" s="350"/>
      <c r="BD208" s="350"/>
      <c r="BE208" s="350"/>
      <c r="BF208" s="350"/>
      <c r="BG208" s="350"/>
      <c r="BH208" s="350"/>
      <c r="BI208" s="350"/>
      <c r="BJ208" s="350"/>
      <c r="BK208" s="350"/>
      <c r="BL208" s="350"/>
      <c r="BM208" s="350"/>
      <c r="BN208" s="350"/>
      <c r="BO208" s="350"/>
      <c r="BP208" s="350"/>
      <c r="BQ208" s="350"/>
      <c r="BR208" s="350"/>
      <c r="BS208" s="350"/>
      <c r="BT208" s="350"/>
      <c r="BU208" s="350"/>
      <c r="BV208" s="350"/>
      <c r="BW208" s="350"/>
      <c r="BX208" s="350"/>
      <c r="BY208" s="350"/>
    </row>
    <row r="209">
      <c r="A209" s="723" t="s">
        <v>929</v>
      </c>
      <c r="B209" s="31"/>
      <c r="C209" s="31"/>
      <c r="D209" s="31"/>
      <c r="E209" s="31"/>
      <c r="F209" s="22"/>
      <c r="G209" s="724"/>
      <c r="H209" s="724"/>
      <c r="I209" s="726"/>
      <c r="J209" s="727"/>
      <c r="K209" s="727"/>
      <c r="L209" s="727"/>
      <c r="M209" s="724"/>
      <c r="N209" s="712"/>
      <c r="O209" s="5"/>
      <c r="P209" s="728"/>
      <c r="Q209" s="31"/>
      <c r="R209" s="31"/>
      <c r="S209" s="31"/>
      <c r="T209" s="22"/>
      <c r="U209" s="713" t="s">
        <v>930</v>
      </c>
      <c r="V209" s="714"/>
      <c r="W209" s="714"/>
      <c r="X209" s="714"/>
      <c r="Y209" s="714"/>
      <c r="Z209" s="728"/>
      <c r="AA209" s="31"/>
      <c r="AB209" s="31"/>
      <c r="AC209" s="31"/>
      <c r="AD209" s="22"/>
      <c r="AE209" s="718" t="str">
        <f>IF('Info. Personagem'!R[-268]C[7]&lt;15,"Junsugan (2)","Junsugan (3)")</f>
        <v>#ERROR!</v>
      </c>
      <c r="AF209" s="714"/>
      <c r="AG209" s="714"/>
      <c r="AH209" s="710"/>
      <c r="AI209" s="710"/>
      <c r="AJ209" s="727"/>
      <c r="AK209" s="712"/>
      <c r="AL209" s="7"/>
      <c r="AM209" s="7"/>
      <c r="AN209" s="7"/>
      <c r="AO209" s="5"/>
      <c r="AP209" s="727"/>
      <c r="AQ209" s="727"/>
      <c r="AR209" s="727"/>
      <c r="AS209" s="727"/>
      <c r="AT209" s="727"/>
      <c r="AU209" s="727"/>
      <c r="AV209" s="710"/>
      <c r="AW209" s="717" t="s">
        <v>923</v>
      </c>
      <c r="AX209" s="7"/>
      <c r="AY209" s="7"/>
      <c r="AZ209" s="7"/>
      <c r="BA209" s="7"/>
      <c r="BB209" s="5"/>
      <c r="BC209" s="350"/>
      <c r="BD209" s="350"/>
      <c r="BE209" s="350"/>
      <c r="BF209" s="350"/>
      <c r="BG209" s="350"/>
      <c r="BH209" s="350"/>
      <c r="BI209" s="350"/>
      <c r="BJ209" s="350"/>
      <c r="BK209" s="350"/>
      <c r="BL209" s="350"/>
      <c r="BM209" s="350"/>
      <c r="BN209" s="350"/>
      <c r="BO209" s="350"/>
      <c r="BP209" s="350"/>
      <c r="BQ209" s="350"/>
      <c r="BR209" s="350"/>
      <c r="BS209" s="350"/>
      <c r="BT209" s="350"/>
      <c r="BU209" s="350"/>
      <c r="BV209" s="350"/>
      <c r="BW209" s="350"/>
      <c r="BX209" s="350"/>
      <c r="BY209" s="350"/>
    </row>
    <row r="210">
      <c r="A210" s="723" t="s">
        <v>931</v>
      </c>
      <c r="B210" s="31"/>
      <c r="C210" s="31"/>
      <c r="D210" s="31"/>
      <c r="E210" s="31"/>
      <c r="F210" s="22"/>
      <c r="G210" s="724"/>
      <c r="H210" s="724"/>
      <c r="I210" s="726"/>
      <c r="J210" s="727"/>
      <c r="K210" s="727"/>
      <c r="L210" s="727"/>
      <c r="M210" s="727"/>
      <c r="N210" s="712"/>
      <c r="O210" s="5"/>
      <c r="P210" s="728"/>
      <c r="Q210" s="31"/>
      <c r="R210" s="31"/>
      <c r="S210" s="31"/>
      <c r="T210" s="22"/>
      <c r="U210" s="713" t="str">
        <f>IF('Info. Personagem'!R[-269]C[17]&lt;11,"Floating Array",IF('Info. Personagem'!R[-269]C[17]&lt;15,"Floating Array (2)","Floating Array (3)"))</f>
        <v>#ERROR!</v>
      </c>
      <c r="V210" s="714"/>
      <c r="W210" s="714"/>
      <c r="X210" s="714"/>
      <c r="Y210" s="714"/>
      <c r="Z210" s="728"/>
      <c r="AA210" s="31"/>
      <c r="AB210" s="31"/>
      <c r="AC210" s="31"/>
      <c r="AD210" s="22"/>
      <c r="AE210" s="713" t="str">
        <f>IF('Info. Personagem'!R[-269]C[17]&lt;11,"Floating Array",IF('Info. Personagem'!R[-269]C[17]&lt;15,"Floating Array (2)","Floating Array (3)"))</f>
        <v>#ERROR!</v>
      </c>
      <c r="AF210" s="714"/>
      <c r="AG210" s="714"/>
      <c r="AH210" s="708" t="s">
        <v>932</v>
      </c>
      <c r="AI210" s="710"/>
      <c r="AJ210" s="727"/>
      <c r="AK210" s="712"/>
      <c r="AL210" s="7"/>
      <c r="AM210" s="7"/>
      <c r="AN210" s="7"/>
      <c r="AO210" s="5"/>
      <c r="AP210" s="727"/>
      <c r="AQ210" s="727"/>
      <c r="AR210" s="727"/>
      <c r="AS210" s="727"/>
      <c r="AT210" s="727"/>
      <c r="AU210" s="727"/>
      <c r="AV210" s="710"/>
      <c r="AW210" s="717" t="s">
        <v>933</v>
      </c>
      <c r="AX210" s="7"/>
      <c r="AY210" s="7"/>
      <c r="AZ210" s="7"/>
      <c r="BA210" s="7"/>
      <c r="BB210" s="5"/>
      <c r="BC210" s="350"/>
      <c r="BD210" s="350"/>
      <c r="BE210" s="350"/>
      <c r="BF210" s="350"/>
      <c r="BG210" s="350"/>
      <c r="BH210" s="350"/>
      <c r="BI210" s="350"/>
      <c r="BJ210" s="350"/>
      <c r="BK210" s="350"/>
      <c r="BL210" s="350"/>
      <c r="BM210" s="350"/>
      <c r="BN210" s="350"/>
      <c r="BO210" s="350"/>
      <c r="BP210" s="350"/>
      <c r="BQ210" s="350"/>
      <c r="BR210" s="350"/>
      <c r="BS210" s="350"/>
      <c r="BT210" s="350"/>
      <c r="BU210" s="350"/>
      <c r="BV210" s="350"/>
      <c r="BW210" s="350"/>
      <c r="BX210" s="350"/>
      <c r="BY210" s="350"/>
    </row>
    <row r="211">
      <c r="A211" s="723" t="s">
        <v>934</v>
      </c>
      <c r="B211" s="31"/>
      <c r="C211" s="31"/>
      <c r="D211" s="31"/>
      <c r="E211" s="31"/>
      <c r="F211" s="22"/>
      <c r="G211" s="724"/>
      <c r="H211" s="724"/>
      <c r="I211" s="726"/>
      <c r="J211" s="724"/>
      <c r="K211" s="725"/>
      <c r="L211" s="727"/>
      <c r="M211" s="727"/>
      <c r="N211" s="712"/>
      <c r="O211" s="5"/>
      <c r="P211" s="728"/>
      <c r="Q211" s="31"/>
      <c r="R211" s="31"/>
      <c r="S211" s="31"/>
      <c r="T211" s="22"/>
      <c r="U211" s="713" t="s">
        <v>935</v>
      </c>
      <c r="V211" s="714"/>
      <c r="W211" s="714"/>
      <c r="X211" s="714"/>
      <c r="Y211" s="714"/>
      <c r="Z211" s="728"/>
      <c r="AA211" s="31"/>
      <c r="AB211" s="31"/>
      <c r="AC211" s="31"/>
      <c r="AD211" s="22"/>
      <c r="AE211" s="713" t="s">
        <v>935</v>
      </c>
      <c r="AF211" s="714"/>
      <c r="AG211" s="714"/>
      <c r="AH211" s="708" t="s">
        <v>936</v>
      </c>
      <c r="AI211" s="710"/>
      <c r="AJ211" s="727"/>
      <c r="AK211" s="712"/>
      <c r="AL211" s="7"/>
      <c r="AM211" s="7"/>
      <c r="AN211" s="7"/>
      <c r="AO211" s="5"/>
      <c r="AP211" s="727"/>
      <c r="AQ211" s="727"/>
      <c r="AR211" s="727"/>
      <c r="AS211" s="727"/>
      <c r="AT211" s="727"/>
      <c r="AU211" s="727"/>
      <c r="AV211" s="710"/>
      <c r="AW211" s="717" t="s">
        <v>937</v>
      </c>
      <c r="AX211" s="7"/>
      <c r="AY211" s="7"/>
      <c r="AZ211" s="7"/>
      <c r="BA211" s="7"/>
      <c r="BB211" s="5"/>
      <c r="BC211" s="350"/>
      <c r="BD211" s="350"/>
      <c r="BE211" s="350"/>
      <c r="BF211" s="350"/>
      <c r="BG211" s="350"/>
      <c r="BH211" s="350"/>
      <c r="BI211" s="350"/>
      <c r="BJ211" s="350"/>
      <c r="BK211" s="350"/>
      <c r="BL211" s="350"/>
      <c r="BM211" s="350"/>
      <c r="BN211" s="350"/>
      <c r="BO211" s="350"/>
      <c r="BP211" s="350"/>
      <c r="BQ211" s="350"/>
      <c r="BR211" s="350"/>
      <c r="BS211" s="350"/>
      <c r="BT211" s="350"/>
      <c r="BU211" s="350"/>
      <c r="BV211" s="350"/>
      <c r="BW211" s="350"/>
      <c r="BX211" s="350"/>
      <c r="BY211" s="350"/>
    </row>
    <row r="212">
      <c r="A212" s="723" t="s">
        <v>938</v>
      </c>
      <c r="B212" s="31"/>
      <c r="C212" s="31"/>
      <c r="D212" s="31"/>
      <c r="E212" s="31"/>
      <c r="F212" s="22"/>
      <c r="G212" s="724"/>
      <c r="H212" s="724"/>
      <c r="I212" s="726"/>
      <c r="J212" s="724"/>
      <c r="K212" s="724"/>
      <c r="L212" s="727"/>
      <c r="M212" s="724"/>
      <c r="N212" s="712"/>
      <c r="O212" s="5"/>
      <c r="P212" s="728"/>
      <c r="Q212" s="31"/>
      <c r="R212" s="31"/>
      <c r="S212" s="31"/>
      <c r="T212" s="22"/>
      <c r="U212" s="713" t="s">
        <v>939</v>
      </c>
      <c r="V212" s="714"/>
      <c r="W212" s="714"/>
      <c r="X212" s="714"/>
      <c r="Y212" s="714"/>
      <c r="Z212" s="728"/>
      <c r="AA212" s="31"/>
      <c r="AB212" s="31"/>
      <c r="AC212" s="31"/>
      <c r="AD212" s="22"/>
      <c r="AE212" s="713" t="s">
        <v>939</v>
      </c>
      <c r="AF212" s="714"/>
      <c r="AG212" s="714"/>
      <c r="AH212" s="708" t="s">
        <v>940</v>
      </c>
      <c r="AI212" s="710"/>
      <c r="AJ212" s="727"/>
      <c r="AK212" s="712"/>
      <c r="AL212" s="7"/>
      <c r="AM212" s="7"/>
      <c r="AN212" s="7"/>
      <c r="AO212" s="5"/>
      <c r="AP212" s="727"/>
      <c r="AQ212" s="727"/>
      <c r="AR212" s="727"/>
      <c r="AS212" s="727"/>
      <c r="AT212" s="727"/>
      <c r="AU212" s="727"/>
      <c r="AV212" s="710"/>
      <c r="AW212" s="717" t="s">
        <v>941</v>
      </c>
      <c r="AX212" s="7"/>
      <c r="AY212" s="7"/>
      <c r="AZ212" s="7"/>
      <c r="BA212" s="7"/>
      <c r="BB212" s="5"/>
      <c r="BC212" s="350"/>
      <c r="BD212" s="350"/>
      <c r="BE212" s="350"/>
      <c r="BF212" s="350"/>
      <c r="BG212" s="350"/>
      <c r="BH212" s="350"/>
      <c r="BI212" s="350"/>
      <c r="BJ212" s="350"/>
      <c r="BK212" s="350"/>
      <c r="BL212" s="350"/>
      <c r="BM212" s="350"/>
      <c r="BN212" s="350"/>
      <c r="BO212" s="350"/>
      <c r="BP212" s="350"/>
      <c r="BQ212" s="350"/>
      <c r="BR212" s="350"/>
      <c r="BS212" s="350"/>
      <c r="BT212" s="350"/>
      <c r="BU212" s="350"/>
      <c r="BV212" s="350"/>
      <c r="BW212" s="350"/>
      <c r="BX212" s="350"/>
      <c r="BY212" s="350"/>
    </row>
    <row r="213">
      <c r="A213" s="723" t="s">
        <v>942</v>
      </c>
      <c r="B213" s="31"/>
      <c r="C213" s="31"/>
      <c r="D213" s="31"/>
      <c r="E213" s="31"/>
      <c r="F213" s="22"/>
      <c r="G213" s="724"/>
      <c r="H213" s="724"/>
      <c r="I213" s="726"/>
      <c r="J213" s="725"/>
      <c r="K213" s="727"/>
      <c r="L213" s="725"/>
      <c r="M213" s="727"/>
      <c r="N213" s="712"/>
      <c r="O213" s="5"/>
      <c r="P213" s="728"/>
      <c r="Q213" s="31"/>
      <c r="R213" s="31"/>
      <c r="S213" s="31"/>
      <c r="T213" s="22"/>
      <c r="U213" s="710"/>
      <c r="V213" s="714"/>
      <c r="W213" s="718" t="s">
        <v>943</v>
      </c>
      <c r="X213" s="714"/>
      <c r="Y213" s="714"/>
      <c r="Z213" s="728"/>
      <c r="AA213" s="31"/>
      <c r="AB213" s="31"/>
      <c r="AC213" s="31"/>
      <c r="AD213" s="22"/>
      <c r="AE213" s="714"/>
      <c r="AF213" s="714"/>
      <c r="AG213" s="718" t="s">
        <v>943</v>
      </c>
      <c r="AH213" s="708" t="s">
        <v>944</v>
      </c>
      <c r="AI213" s="710"/>
      <c r="AJ213" s="727"/>
      <c r="AK213" s="712"/>
      <c r="AL213" s="7"/>
      <c r="AM213" s="7"/>
      <c r="AN213" s="7"/>
      <c r="AO213" s="5"/>
      <c r="AP213" s="727"/>
      <c r="AQ213" s="727"/>
      <c r="AR213" s="727"/>
      <c r="AS213" s="727"/>
      <c r="AT213" s="727"/>
      <c r="AU213" s="727"/>
      <c r="AV213" s="710"/>
      <c r="AW213" s="717" t="s">
        <v>945</v>
      </c>
      <c r="AX213" s="7"/>
      <c r="AY213" s="7"/>
      <c r="AZ213" s="7"/>
      <c r="BA213" s="7"/>
      <c r="BB213" s="5"/>
      <c r="BC213" s="350"/>
      <c r="BD213" s="350"/>
      <c r="BE213" s="350"/>
      <c r="BF213" s="350"/>
      <c r="BG213" s="350"/>
      <c r="BH213" s="350"/>
      <c r="BI213" s="350"/>
      <c r="BJ213" s="350"/>
      <c r="BK213" s="350"/>
      <c r="BL213" s="350"/>
      <c r="BM213" s="350"/>
      <c r="BN213" s="350"/>
      <c r="BO213" s="350"/>
      <c r="BP213" s="350"/>
      <c r="BQ213" s="350"/>
      <c r="BR213" s="350"/>
      <c r="BS213" s="350"/>
      <c r="BT213" s="350"/>
      <c r="BU213" s="350"/>
      <c r="BV213" s="350"/>
      <c r="BW213" s="350"/>
      <c r="BX213" s="350"/>
      <c r="BY213" s="350"/>
    </row>
    <row r="214">
      <c r="A214" s="723" t="s">
        <v>946</v>
      </c>
      <c r="B214" s="31"/>
      <c r="C214" s="31"/>
      <c r="D214" s="31"/>
      <c r="E214" s="31"/>
      <c r="F214" s="22"/>
      <c r="G214" s="724"/>
      <c r="H214" s="724"/>
      <c r="I214" s="726"/>
      <c r="J214" s="725"/>
      <c r="K214" s="727"/>
      <c r="L214" s="727"/>
      <c r="M214" s="727"/>
      <c r="N214" s="712"/>
      <c r="O214" s="5"/>
      <c r="P214" s="728"/>
      <c r="Q214" s="31"/>
      <c r="R214" s="31"/>
      <c r="S214" s="31"/>
      <c r="T214" s="22"/>
      <c r="U214" s="713" t="s">
        <v>947</v>
      </c>
      <c r="V214" s="718" t="s">
        <v>948</v>
      </c>
      <c r="W214" s="714"/>
      <c r="X214" s="714"/>
      <c r="Y214" s="714"/>
      <c r="Z214" s="728"/>
      <c r="AA214" s="31"/>
      <c r="AB214" s="31"/>
      <c r="AC214" s="31"/>
      <c r="AD214" s="22"/>
      <c r="AE214" s="713" t="s">
        <v>947</v>
      </c>
      <c r="AF214" s="718" t="s">
        <v>948</v>
      </c>
      <c r="AG214" s="714"/>
      <c r="AH214" s="708" t="s">
        <v>947</v>
      </c>
      <c r="AI214" s="710"/>
      <c r="AJ214" s="727"/>
      <c r="AK214" s="712"/>
      <c r="AL214" s="7"/>
      <c r="AM214" s="7"/>
      <c r="AN214" s="7"/>
      <c r="AO214" s="5"/>
      <c r="AP214" s="727"/>
      <c r="AQ214" s="727"/>
      <c r="AR214" s="727"/>
      <c r="AS214" s="727"/>
      <c r="AT214" s="727"/>
      <c r="AU214" s="727"/>
      <c r="AV214" s="710"/>
      <c r="AW214" s="717" t="s">
        <v>949</v>
      </c>
      <c r="AX214" s="7"/>
      <c r="AY214" s="7"/>
      <c r="AZ214" s="7"/>
      <c r="BA214" s="7"/>
      <c r="BB214" s="5"/>
      <c r="BC214" s="350"/>
      <c r="BD214" s="350"/>
      <c r="BE214" s="350"/>
      <c r="BF214" s="350"/>
      <c r="BG214" s="350"/>
      <c r="BH214" s="350"/>
      <c r="BI214" s="350"/>
      <c r="BJ214" s="350"/>
      <c r="BK214" s="350"/>
      <c r="BL214" s="350"/>
      <c r="BM214" s="350"/>
      <c r="BN214" s="350"/>
      <c r="BO214" s="350"/>
      <c r="BP214" s="350"/>
      <c r="BQ214" s="350"/>
      <c r="BR214" s="350"/>
      <c r="BS214" s="350"/>
      <c r="BT214" s="350"/>
      <c r="BU214" s="350"/>
      <c r="BV214" s="350"/>
      <c r="BW214" s="350"/>
      <c r="BX214" s="350"/>
      <c r="BY214" s="350"/>
    </row>
    <row r="215">
      <c r="A215" s="723" t="s">
        <v>950</v>
      </c>
      <c r="B215" s="31"/>
      <c r="C215" s="31"/>
      <c r="D215" s="31"/>
      <c r="E215" s="31"/>
      <c r="F215" s="22"/>
      <c r="G215" s="724"/>
      <c r="H215" s="724"/>
      <c r="I215" s="726"/>
      <c r="J215" s="724"/>
      <c r="K215" s="725"/>
      <c r="L215" s="725"/>
      <c r="M215" s="724"/>
      <c r="N215" s="712"/>
      <c r="O215" s="5"/>
      <c r="P215" s="728"/>
      <c r="Q215" s="31"/>
      <c r="R215" s="31"/>
      <c r="S215" s="31"/>
      <c r="T215" s="22"/>
      <c r="U215" s="713" t="s">
        <v>951</v>
      </c>
      <c r="V215" s="718" t="s">
        <v>952</v>
      </c>
      <c r="W215" s="714"/>
      <c r="X215" s="714"/>
      <c r="Y215" s="714"/>
      <c r="Z215" s="728"/>
      <c r="AA215" s="31"/>
      <c r="AB215" s="31"/>
      <c r="AC215" s="31"/>
      <c r="AD215" s="22"/>
      <c r="AE215" s="713" t="s">
        <v>951</v>
      </c>
      <c r="AF215" s="718" t="s">
        <v>952</v>
      </c>
      <c r="AG215" s="714"/>
      <c r="AH215" s="708" t="s">
        <v>953</v>
      </c>
      <c r="AI215" s="708" t="s">
        <v>954</v>
      </c>
      <c r="AJ215" s="727"/>
      <c r="AK215" s="712"/>
      <c r="AL215" s="7"/>
      <c r="AM215" s="7"/>
      <c r="AN215" s="7"/>
      <c r="AO215" s="5"/>
      <c r="AP215" s="724" t="s">
        <v>955</v>
      </c>
      <c r="AQ215" s="724" t="s">
        <v>956</v>
      </c>
      <c r="AR215" s="727"/>
      <c r="AS215" s="727"/>
      <c r="AT215" s="727"/>
      <c r="AU215" s="727"/>
      <c r="AV215" s="710"/>
      <c r="AW215" s="717" t="s">
        <v>957</v>
      </c>
      <c r="AX215" s="7"/>
      <c r="AY215" s="7"/>
      <c r="AZ215" s="7"/>
      <c r="BA215" s="7"/>
      <c r="BB215" s="5"/>
      <c r="BC215" s="350"/>
      <c r="BD215" s="350"/>
      <c r="BE215" s="350"/>
      <c r="BF215" s="350"/>
      <c r="BG215" s="350"/>
      <c r="BH215" s="350"/>
      <c r="BI215" s="350"/>
      <c r="BJ215" s="350"/>
      <c r="BK215" s="350"/>
      <c r="BL215" s="350"/>
      <c r="BM215" s="350"/>
      <c r="BN215" s="350"/>
      <c r="BO215" s="350"/>
      <c r="BP215" s="350"/>
      <c r="BQ215" s="350"/>
      <c r="BR215" s="350"/>
      <c r="BS215" s="350"/>
      <c r="BT215" s="350"/>
      <c r="BU215" s="350"/>
      <c r="BV215" s="350"/>
      <c r="BW215" s="350"/>
      <c r="BX215" s="350"/>
      <c r="BY215" s="350"/>
    </row>
    <row r="216">
      <c r="A216" s="716" t="s">
        <v>958</v>
      </c>
      <c r="B216" s="7"/>
      <c r="C216" s="7"/>
      <c r="D216" s="7"/>
      <c r="E216" s="7"/>
      <c r="F216" s="5"/>
      <c r="G216" s="719"/>
      <c r="H216" s="719"/>
      <c r="I216" s="720"/>
      <c r="J216" s="719"/>
      <c r="K216" s="719"/>
      <c r="L216" s="644"/>
      <c r="M216" s="719"/>
      <c r="N216" s="712"/>
      <c r="O216" s="5"/>
      <c r="P216" s="728"/>
      <c r="Q216" s="31"/>
      <c r="R216" s="31"/>
      <c r="S216" s="31"/>
      <c r="T216" s="22"/>
      <c r="U216" s="710"/>
      <c r="V216" s="714"/>
      <c r="W216" s="714"/>
      <c r="X216" s="714"/>
      <c r="Y216" s="714"/>
      <c r="Z216" s="728"/>
      <c r="AA216" s="31"/>
      <c r="AB216" s="31"/>
      <c r="AC216" s="31"/>
      <c r="AD216" s="22"/>
      <c r="AE216" s="714"/>
      <c r="AF216" s="714"/>
      <c r="AG216" s="714"/>
      <c r="AH216" s="727"/>
      <c r="AI216" s="727"/>
      <c r="AJ216" s="727"/>
      <c r="AK216" s="727"/>
      <c r="AL216" s="727"/>
      <c r="AM216" s="727"/>
      <c r="AN216" s="727"/>
      <c r="AO216" s="727"/>
      <c r="AP216" s="727"/>
      <c r="AQ216" s="727"/>
      <c r="AR216" s="727"/>
      <c r="AS216" s="727"/>
      <c r="AT216" s="727"/>
      <c r="AU216" s="727"/>
      <c r="AV216" s="710"/>
      <c r="AW216" s="493"/>
      <c r="AX216" s="7"/>
      <c r="AY216" s="7"/>
      <c r="AZ216" s="7"/>
      <c r="BA216" s="7"/>
      <c r="BB216" s="5"/>
      <c r="BC216" s="350"/>
      <c r="BD216" s="350"/>
      <c r="BE216" s="350"/>
      <c r="BF216" s="350"/>
      <c r="BG216" s="350"/>
      <c r="BH216" s="350"/>
      <c r="BI216" s="350"/>
      <c r="BJ216" s="350"/>
      <c r="BK216" s="350"/>
      <c r="BL216" s="350"/>
      <c r="BM216" s="350"/>
      <c r="BN216" s="350"/>
      <c r="BO216" s="350"/>
      <c r="BP216" s="350"/>
      <c r="BQ216" s="350"/>
      <c r="BR216" s="350"/>
      <c r="BS216" s="350"/>
      <c r="BT216" s="350"/>
      <c r="BU216" s="350"/>
      <c r="BV216" s="350"/>
      <c r="BW216" s="350"/>
      <c r="BX216" s="350"/>
      <c r="BY216" s="350"/>
    </row>
    <row r="217">
      <c r="A217" s="723" t="s">
        <v>959</v>
      </c>
      <c r="B217" s="31"/>
      <c r="C217" s="31"/>
      <c r="D217" s="31"/>
      <c r="E217" s="31"/>
      <c r="F217" s="22"/>
      <c r="G217" s="724"/>
      <c r="H217" s="724"/>
      <c r="I217" s="726"/>
      <c r="J217" s="724"/>
      <c r="K217" s="724"/>
      <c r="L217" s="724"/>
      <c r="M217" s="724"/>
      <c r="N217" s="712"/>
      <c r="O217" s="5"/>
      <c r="P217" s="712"/>
      <c r="Q217" s="7"/>
      <c r="R217" s="7"/>
      <c r="S217" s="7"/>
      <c r="T217" s="5"/>
      <c r="U217" s="710"/>
      <c r="V217" s="714"/>
      <c r="W217" s="714"/>
      <c r="X217" s="714"/>
      <c r="Y217" s="714"/>
      <c r="Z217" s="712"/>
      <c r="AA217" s="7"/>
      <c r="AB217" s="7"/>
      <c r="AC217" s="7"/>
      <c r="AD217" s="5"/>
      <c r="AE217" s="714"/>
      <c r="AF217" s="714"/>
      <c r="AG217" s="714"/>
      <c r="AH217" s="710"/>
      <c r="AI217" s="710"/>
      <c r="AJ217" s="710"/>
      <c r="AK217" s="710"/>
      <c r="AL217" s="710"/>
      <c r="AM217" s="710"/>
      <c r="AN217" s="710"/>
      <c r="AO217" s="710"/>
      <c r="AP217" s="710"/>
      <c r="AQ217" s="710"/>
      <c r="AR217" s="710"/>
      <c r="AS217" s="710"/>
      <c r="AT217" s="710"/>
      <c r="AU217" s="710"/>
      <c r="AV217" s="710"/>
      <c r="AW217" s="493"/>
      <c r="AX217" s="7"/>
      <c r="AY217" s="7"/>
      <c r="AZ217" s="7"/>
      <c r="BA217" s="7"/>
      <c r="BB217" s="5"/>
      <c r="BC217" s="350"/>
      <c r="BD217" s="350"/>
      <c r="BE217" s="350"/>
      <c r="BF217" s="350"/>
      <c r="BG217" s="350"/>
      <c r="BH217" s="350"/>
      <c r="BI217" s="350"/>
      <c r="BJ217" s="350"/>
      <c r="BK217" s="350"/>
      <c r="BL217" s="350"/>
      <c r="BM217" s="350"/>
      <c r="BN217" s="350"/>
      <c r="BO217" s="350"/>
      <c r="BP217" s="350"/>
      <c r="BQ217" s="350"/>
      <c r="BR217" s="350"/>
      <c r="BS217" s="350"/>
      <c r="BT217" s="350"/>
      <c r="BU217" s="350"/>
      <c r="BV217" s="350"/>
      <c r="BW217" s="350"/>
      <c r="BX217" s="350"/>
      <c r="BY217" s="350"/>
    </row>
    <row r="218">
      <c r="A218" s="723" t="s">
        <v>960</v>
      </c>
      <c r="B218" s="31"/>
      <c r="C218" s="31"/>
      <c r="D218" s="31"/>
      <c r="E218" s="31"/>
      <c r="F218" s="22"/>
      <c r="G218" s="724"/>
      <c r="H218" s="724"/>
      <c r="I218" s="726"/>
      <c r="J218" s="724"/>
      <c r="K218" s="724"/>
      <c r="L218" s="724"/>
      <c r="M218" s="727"/>
      <c r="N218" s="712"/>
      <c r="O218" s="5"/>
      <c r="P218" s="712"/>
      <c r="Q218" s="7"/>
      <c r="R218" s="7"/>
      <c r="S218" s="7"/>
      <c r="T218" s="5"/>
      <c r="U218" s="710"/>
      <c r="V218" s="714"/>
      <c r="W218" s="714"/>
      <c r="X218" s="714"/>
      <c r="Y218" s="714"/>
      <c r="Z218" s="712"/>
      <c r="AA218" s="7"/>
      <c r="AB218" s="7"/>
      <c r="AC218" s="7"/>
      <c r="AD218" s="5"/>
      <c r="AE218" s="714"/>
      <c r="AF218" s="714"/>
      <c r="AG218" s="714"/>
      <c r="AH218" s="710"/>
      <c r="AI218" s="710"/>
      <c r="AJ218" s="710"/>
      <c r="AK218" s="710"/>
      <c r="AL218" s="710"/>
      <c r="AM218" s="710"/>
      <c r="AN218" s="710"/>
      <c r="AO218" s="710"/>
      <c r="AP218" s="710"/>
      <c r="AQ218" s="710"/>
      <c r="AR218" s="710"/>
      <c r="AS218" s="710"/>
      <c r="AT218" s="710"/>
      <c r="AU218" s="710"/>
      <c r="AV218" s="710"/>
      <c r="AW218" s="493"/>
      <c r="AX218" s="7"/>
      <c r="AY218" s="7"/>
      <c r="AZ218" s="7"/>
      <c r="BA218" s="7"/>
      <c r="BB218" s="5"/>
      <c r="BC218" s="350"/>
      <c r="BD218" s="350"/>
      <c r="BE218" s="350"/>
      <c r="BF218" s="350"/>
      <c r="BG218" s="350"/>
      <c r="BH218" s="350"/>
      <c r="BI218" s="350"/>
      <c r="BJ218" s="350"/>
      <c r="BK218" s="350"/>
      <c r="BL218" s="350"/>
      <c r="BM218" s="350"/>
      <c r="BN218" s="350"/>
      <c r="BO218" s="350"/>
      <c r="BP218" s="350"/>
      <c r="BQ218" s="350"/>
      <c r="BR218" s="350"/>
      <c r="BS218" s="350"/>
      <c r="BT218" s="350"/>
      <c r="BU218" s="350"/>
      <c r="BV218" s="350"/>
      <c r="BW218" s="350"/>
      <c r="BX218" s="350"/>
      <c r="BY218" s="350"/>
    </row>
    <row r="219">
      <c r="A219" s="493"/>
      <c r="B219" s="7"/>
      <c r="C219" s="7"/>
      <c r="D219" s="7"/>
      <c r="E219" s="7"/>
      <c r="F219" s="5"/>
      <c r="G219" s="710"/>
      <c r="H219" s="710"/>
      <c r="I219" s="709"/>
      <c r="J219" s="710"/>
      <c r="K219" s="710"/>
      <c r="L219" s="710"/>
      <c r="M219" s="710"/>
      <c r="N219" s="712"/>
      <c r="O219" s="5"/>
      <c r="P219" s="712"/>
      <c r="Q219" s="7"/>
      <c r="R219" s="7"/>
      <c r="S219" s="7"/>
      <c r="T219" s="5"/>
      <c r="U219" s="710"/>
      <c r="V219" s="714"/>
      <c r="W219" s="714"/>
      <c r="X219" s="714"/>
      <c r="Y219" s="714"/>
      <c r="Z219" s="712"/>
      <c r="AA219" s="7"/>
      <c r="AB219" s="7"/>
      <c r="AC219" s="7"/>
      <c r="AD219" s="5"/>
      <c r="AE219" s="714"/>
      <c r="AF219" s="714"/>
      <c r="AG219" s="714"/>
      <c r="AH219" s="710"/>
      <c r="AI219" s="710"/>
      <c r="AJ219" s="710"/>
      <c r="AK219" s="710"/>
      <c r="AL219" s="710"/>
      <c r="AM219" s="710"/>
      <c r="AN219" s="710"/>
      <c r="AO219" s="710"/>
      <c r="AP219" s="710"/>
      <c r="AQ219" s="710"/>
      <c r="AR219" s="710"/>
      <c r="AS219" s="710"/>
      <c r="AT219" s="710"/>
      <c r="AU219" s="710"/>
      <c r="AV219" s="710"/>
      <c r="AW219" s="493"/>
      <c r="AX219" s="7"/>
      <c r="AY219" s="7"/>
      <c r="AZ219" s="7"/>
      <c r="BA219" s="7"/>
      <c r="BB219" s="5"/>
      <c r="BC219" s="350"/>
      <c r="BD219" s="350"/>
      <c r="BE219" s="350"/>
      <c r="BF219" s="350"/>
      <c r="BG219" s="350"/>
      <c r="BH219" s="350"/>
      <c r="BI219" s="350"/>
      <c r="BJ219" s="350"/>
      <c r="BK219" s="350"/>
      <c r="BL219" s="350"/>
      <c r="BM219" s="350"/>
      <c r="BN219" s="350"/>
      <c r="BO219" s="350"/>
      <c r="BP219" s="350"/>
      <c r="BQ219" s="350"/>
      <c r="BR219" s="350"/>
      <c r="BS219" s="350"/>
      <c r="BT219" s="350"/>
      <c r="BU219" s="350"/>
      <c r="BV219" s="350"/>
      <c r="BW219" s="350"/>
      <c r="BX219" s="350"/>
      <c r="BY219" s="350"/>
    </row>
    <row r="220">
      <c r="A220" s="493"/>
      <c r="B220" s="7"/>
      <c r="C220" s="7"/>
      <c r="D220" s="7"/>
      <c r="E220" s="7"/>
      <c r="F220" s="5"/>
      <c r="G220" s="710"/>
      <c r="H220" s="710"/>
      <c r="I220" s="709"/>
      <c r="J220" s="710"/>
      <c r="K220" s="710"/>
      <c r="L220" s="710"/>
      <c r="M220" s="710"/>
      <c r="N220" s="712"/>
      <c r="O220" s="5"/>
      <c r="P220" s="712"/>
      <c r="Q220" s="7"/>
      <c r="R220" s="7"/>
      <c r="S220" s="7"/>
      <c r="T220" s="5"/>
      <c r="U220" s="710"/>
      <c r="V220" s="714"/>
      <c r="W220" s="714"/>
      <c r="X220" s="714"/>
      <c r="Y220" s="714"/>
      <c r="Z220" s="712"/>
      <c r="AA220" s="7"/>
      <c r="AB220" s="7"/>
      <c r="AC220" s="7"/>
      <c r="AD220" s="5"/>
      <c r="AE220" s="714"/>
      <c r="AF220" s="714"/>
      <c r="AG220" s="714"/>
      <c r="AH220" s="710"/>
      <c r="AI220" s="710"/>
      <c r="AJ220" s="710"/>
      <c r="AK220" s="710"/>
      <c r="AL220" s="710"/>
      <c r="AM220" s="710"/>
      <c r="AN220" s="710"/>
      <c r="AO220" s="710"/>
      <c r="AP220" s="710"/>
      <c r="AQ220" s="710"/>
      <c r="AR220" s="710"/>
      <c r="AS220" s="710"/>
      <c r="AT220" s="710"/>
      <c r="AU220" s="710"/>
      <c r="AV220" s="710"/>
      <c r="AW220" s="493"/>
      <c r="AX220" s="7"/>
      <c r="AY220" s="7"/>
      <c r="AZ220" s="7"/>
      <c r="BA220" s="7"/>
      <c r="BB220" s="5"/>
      <c r="BC220" s="350"/>
      <c r="BD220" s="350"/>
      <c r="BE220" s="350"/>
      <c r="BF220" s="350"/>
      <c r="BG220" s="350"/>
      <c r="BH220" s="350"/>
      <c r="BI220" s="350"/>
      <c r="BJ220" s="350"/>
      <c r="BK220" s="350"/>
      <c r="BL220" s="350"/>
      <c r="BM220" s="350"/>
      <c r="BN220" s="350"/>
      <c r="BO220" s="350"/>
      <c r="BP220" s="350"/>
      <c r="BQ220" s="350"/>
      <c r="BR220" s="350"/>
      <c r="BS220" s="350"/>
      <c r="BT220" s="350"/>
      <c r="BU220" s="350"/>
      <c r="BV220" s="350"/>
      <c r="BW220" s="350"/>
      <c r="BX220" s="350"/>
      <c r="BY220" s="350"/>
    </row>
    <row r="221">
      <c r="A221" s="493"/>
      <c r="B221" s="7"/>
      <c r="C221" s="7"/>
      <c r="D221" s="7"/>
      <c r="E221" s="7"/>
      <c r="F221" s="5"/>
      <c r="G221" s="710"/>
      <c r="H221" s="710"/>
      <c r="I221" s="709"/>
      <c r="J221" s="710"/>
      <c r="K221" s="710"/>
      <c r="L221" s="710"/>
      <c r="M221" s="710"/>
      <c r="N221" s="712"/>
      <c r="O221" s="5"/>
      <c r="P221" s="712"/>
      <c r="Q221" s="7"/>
      <c r="R221" s="7"/>
      <c r="S221" s="7"/>
      <c r="T221" s="5"/>
      <c r="U221" s="710"/>
      <c r="V221" s="714"/>
      <c r="W221" s="714"/>
      <c r="X221" s="714"/>
      <c r="Y221" s="714"/>
      <c r="Z221" s="712"/>
      <c r="AA221" s="7"/>
      <c r="AB221" s="7"/>
      <c r="AC221" s="7"/>
      <c r="AD221" s="5"/>
      <c r="AE221" s="714"/>
      <c r="AF221" s="714"/>
      <c r="AG221" s="714"/>
      <c r="AH221" s="710"/>
      <c r="AI221" s="710"/>
      <c r="AJ221" s="710"/>
      <c r="AK221" s="710"/>
      <c r="AL221" s="710"/>
      <c r="AM221" s="710"/>
      <c r="AN221" s="710"/>
      <c r="AO221" s="710"/>
      <c r="AP221" s="710"/>
      <c r="AQ221" s="710"/>
      <c r="AR221" s="710"/>
      <c r="AS221" s="710"/>
      <c r="AT221" s="710"/>
      <c r="AU221" s="710"/>
      <c r="AV221" s="710"/>
      <c r="AW221" s="493"/>
      <c r="AX221" s="7"/>
      <c r="AY221" s="7"/>
      <c r="AZ221" s="7"/>
      <c r="BA221" s="7"/>
      <c r="BB221" s="5"/>
      <c r="BC221" s="350"/>
      <c r="BD221" s="350"/>
      <c r="BE221" s="350"/>
      <c r="BF221" s="350"/>
      <c r="BG221" s="350"/>
      <c r="BH221" s="350"/>
      <c r="BI221" s="350"/>
      <c r="BJ221" s="350"/>
      <c r="BK221" s="350"/>
      <c r="BL221" s="350"/>
      <c r="BM221" s="350"/>
      <c r="BN221" s="350"/>
      <c r="BO221" s="350"/>
      <c r="BP221" s="350"/>
      <c r="BQ221" s="350"/>
      <c r="BR221" s="350"/>
      <c r="BS221" s="350"/>
      <c r="BT221" s="350"/>
      <c r="BU221" s="350"/>
      <c r="BV221" s="350"/>
      <c r="BW221" s="350"/>
      <c r="BX221" s="350"/>
      <c r="BY221" s="350"/>
    </row>
    <row r="222">
      <c r="A222" s="493"/>
      <c r="B222" s="7"/>
      <c r="C222" s="7"/>
      <c r="D222" s="7"/>
      <c r="E222" s="7"/>
      <c r="F222" s="5"/>
      <c r="G222" s="710"/>
      <c r="H222" s="710"/>
      <c r="I222" s="709"/>
      <c r="J222" s="710"/>
      <c r="K222" s="710"/>
      <c r="L222" s="710"/>
      <c r="M222" s="710"/>
      <c r="N222" s="712"/>
      <c r="O222" s="5"/>
      <c r="P222" s="712"/>
      <c r="Q222" s="7"/>
      <c r="R222" s="7"/>
      <c r="S222" s="7"/>
      <c r="T222" s="5"/>
      <c r="U222" s="710"/>
      <c r="V222" s="714"/>
      <c r="W222" s="714"/>
      <c r="X222" s="714"/>
      <c r="Y222" s="714"/>
      <c r="Z222" s="712"/>
      <c r="AA222" s="7"/>
      <c r="AB222" s="7"/>
      <c r="AC222" s="7"/>
      <c r="AD222" s="5"/>
      <c r="AE222" s="714"/>
      <c r="AF222" s="714"/>
      <c r="AG222" s="714"/>
      <c r="AH222" s="710"/>
      <c r="AI222" s="710"/>
      <c r="AJ222" s="710"/>
      <c r="AK222" s="710"/>
      <c r="AL222" s="710"/>
      <c r="AM222" s="710"/>
      <c r="AN222" s="710"/>
      <c r="AO222" s="710"/>
      <c r="AP222" s="710"/>
      <c r="AQ222" s="710"/>
      <c r="AR222" s="710"/>
      <c r="AS222" s="710"/>
      <c r="AT222" s="710"/>
      <c r="AU222" s="710"/>
      <c r="AV222" s="710"/>
      <c r="AW222" s="493"/>
      <c r="AX222" s="7"/>
      <c r="AY222" s="7"/>
      <c r="AZ222" s="7"/>
      <c r="BA222" s="7"/>
      <c r="BB222" s="5"/>
      <c r="BC222" s="350"/>
      <c r="BD222" s="350"/>
      <c r="BE222" s="350"/>
      <c r="BF222" s="350"/>
      <c r="BG222" s="350"/>
      <c r="BH222" s="350"/>
      <c r="BI222" s="350"/>
      <c r="BJ222" s="350"/>
      <c r="BK222" s="350"/>
      <c r="BL222" s="350"/>
      <c r="BM222" s="350"/>
      <c r="BN222" s="350"/>
      <c r="BO222" s="350"/>
      <c r="BP222" s="350"/>
      <c r="BQ222" s="350"/>
      <c r="BR222" s="350"/>
      <c r="BS222" s="350"/>
      <c r="BT222" s="350"/>
      <c r="BU222" s="350"/>
      <c r="BV222" s="350"/>
      <c r="BW222" s="350"/>
      <c r="BX222" s="350"/>
      <c r="BY222" s="350"/>
    </row>
    <row r="223">
      <c r="A223" s="493"/>
      <c r="B223" s="7"/>
      <c r="C223" s="7"/>
      <c r="D223" s="7"/>
      <c r="E223" s="7"/>
      <c r="F223" s="5"/>
      <c r="G223" s="710"/>
      <c r="H223" s="710"/>
      <c r="I223" s="709"/>
      <c r="J223" s="710"/>
      <c r="K223" s="710"/>
      <c r="L223" s="710"/>
      <c r="M223" s="710"/>
      <c r="N223" s="712"/>
      <c r="O223" s="5"/>
      <c r="P223" s="712"/>
      <c r="Q223" s="7"/>
      <c r="R223" s="7"/>
      <c r="S223" s="7"/>
      <c r="T223" s="5"/>
      <c r="U223" s="710"/>
      <c r="V223" s="714"/>
      <c r="W223" s="714"/>
      <c r="X223" s="714"/>
      <c r="Y223" s="714"/>
      <c r="Z223" s="712"/>
      <c r="AA223" s="7"/>
      <c r="AB223" s="7"/>
      <c r="AC223" s="7"/>
      <c r="AD223" s="5"/>
      <c r="AE223" s="714"/>
      <c r="AF223" s="714"/>
      <c r="AG223" s="714"/>
      <c r="AH223" s="710"/>
      <c r="AI223" s="710"/>
      <c r="AJ223" s="710"/>
      <c r="AK223" s="710"/>
      <c r="AL223" s="710"/>
      <c r="AM223" s="710"/>
      <c r="AN223" s="710"/>
      <c r="AO223" s="710"/>
      <c r="AP223" s="710"/>
      <c r="AQ223" s="710"/>
      <c r="AR223" s="710"/>
      <c r="AS223" s="710"/>
      <c r="AT223" s="710"/>
      <c r="AU223" s="710"/>
      <c r="AV223" s="710"/>
      <c r="AW223" s="493"/>
      <c r="AX223" s="7"/>
      <c r="AY223" s="7"/>
      <c r="AZ223" s="7"/>
      <c r="BA223" s="7"/>
      <c r="BB223" s="5"/>
      <c r="BC223" s="350"/>
      <c r="BD223" s="350"/>
      <c r="BE223" s="350"/>
      <c r="BF223" s="350"/>
      <c r="BG223" s="350"/>
      <c r="BH223" s="350"/>
      <c r="BI223" s="350"/>
      <c r="BJ223" s="350"/>
      <c r="BK223" s="350"/>
      <c r="BL223" s="350"/>
      <c r="BM223" s="350"/>
      <c r="BN223" s="350"/>
      <c r="BO223" s="350"/>
      <c r="BP223" s="350"/>
      <c r="BQ223" s="350"/>
      <c r="BR223" s="350"/>
      <c r="BS223" s="350"/>
      <c r="BT223" s="350"/>
      <c r="BU223" s="350"/>
      <c r="BV223" s="350"/>
      <c r="BW223" s="350"/>
      <c r="BX223" s="350"/>
      <c r="BY223" s="350"/>
    </row>
    <row r="224">
      <c r="A224" s="493"/>
      <c r="B224" s="7"/>
      <c r="C224" s="7"/>
      <c r="D224" s="7"/>
      <c r="E224" s="7"/>
      <c r="F224" s="5"/>
      <c r="G224" s="710"/>
      <c r="H224" s="710"/>
      <c r="I224" s="709"/>
      <c r="J224" s="710"/>
      <c r="K224" s="710"/>
      <c r="L224" s="710"/>
      <c r="M224" s="710"/>
      <c r="N224" s="712"/>
      <c r="O224" s="5"/>
      <c r="P224" s="712"/>
      <c r="Q224" s="7"/>
      <c r="R224" s="7"/>
      <c r="S224" s="7"/>
      <c r="T224" s="5"/>
      <c r="U224" s="710"/>
      <c r="V224" s="714"/>
      <c r="W224" s="714"/>
      <c r="X224" s="714"/>
      <c r="Y224" s="714"/>
      <c r="Z224" s="712"/>
      <c r="AA224" s="7"/>
      <c r="AB224" s="7"/>
      <c r="AC224" s="7"/>
      <c r="AD224" s="5"/>
      <c r="AE224" s="714"/>
      <c r="AF224" s="714"/>
      <c r="AG224" s="714"/>
      <c r="AH224" s="710"/>
      <c r="AI224" s="710"/>
      <c r="AJ224" s="710"/>
      <c r="AK224" s="710"/>
      <c r="AL224" s="710"/>
      <c r="AM224" s="710"/>
      <c r="AN224" s="710"/>
      <c r="AO224" s="710"/>
      <c r="AP224" s="710"/>
      <c r="AQ224" s="710"/>
      <c r="AR224" s="710"/>
      <c r="AS224" s="710"/>
      <c r="AT224" s="710"/>
      <c r="AU224" s="710"/>
      <c r="AV224" s="710"/>
      <c r="AW224" s="493"/>
      <c r="AX224" s="7"/>
      <c r="AY224" s="7"/>
      <c r="AZ224" s="7"/>
      <c r="BA224" s="7"/>
      <c r="BB224" s="5"/>
      <c r="BC224" s="350"/>
      <c r="BD224" s="350"/>
      <c r="BE224" s="350"/>
      <c r="BF224" s="350"/>
      <c r="BG224" s="350"/>
      <c r="BH224" s="350"/>
      <c r="BI224" s="350"/>
      <c r="BJ224" s="350"/>
      <c r="BK224" s="350"/>
      <c r="BL224" s="350"/>
      <c r="BM224" s="350"/>
      <c r="BN224" s="350"/>
      <c r="BO224" s="350"/>
      <c r="BP224" s="350"/>
      <c r="BQ224" s="350"/>
      <c r="BR224" s="350"/>
      <c r="BS224" s="350"/>
      <c r="BT224" s="350"/>
      <c r="BU224" s="350"/>
      <c r="BV224" s="350"/>
      <c r="BW224" s="350"/>
      <c r="BX224" s="350"/>
      <c r="BY224" s="350"/>
    </row>
    <row r="225">
      <c r="A225" s="493"/>
      <c r="B225" s="7"/>
      <c r="C225" s="7"/>
      <c r="D225" s="7"/>
      <c r="E225" s="7"/>
      <c r="F225" s="5"/>
      <c r="G225" s="710"/>
      <c r="H225" s="710"/>
      <c r="I225" s="709"/>
      <c r="J225" s="710"/>
      <c r="K225" s="710"/>
      <c r="L225" s="710"/>
      <c r="M225" s="710"/>
      <c r="N225" s="712"/>
      <c r="O225" s="5"/>
      <c r="P225" s="712"/>
      <c r="Q225" s="7"/>
      <c r="R225" s="7"/>
      <c r="S225" s="7"/>
      <c r="T225" s="5"/>
      <c r="U225" s="710"/>
      <c r="V225" s="714"/>
      <c r="W225" s="714"/>
      <c r="X225" s="714"/>
      <c r="Y225" s="714"/>
      <c r="Z225" s="712"/>
      <c r="AA225" s="7"/>
      <c r="AB225" s="7"/>
      <c r="AC225" s="7"/>
      <c r="AD225" s="5"/>
      <c r="AE225" s="714"/>
      <c r="AF225" s="714"/>
      <c r="AG225" s="714"/>
      <c r="AH225" s="710"/>
      <c r="AI225" s="710"/>
      <c r="AJ225" s="710"/>
      <c r="AK225" s="710"/>
      <c r="AL225" s="710"/>
      <c r="AM225" s="710"/>
      <c r="AN225" s="710"/>
      <c r="AO225" s="710"/>
      <c r="AP225" s="710"/>
      <c r="AQ225" s="710"/>
      <c r="AR225" s="710"/>
      <c r="AS225" s="710"/>
      <c r="AT225" s="710"/>
      <c r="AU225" s="710"/>
      <c r="AV225" s="710"/>
      <c r="AW225" s="493"/>
      <c r="AX225" s="7"/>
      <c r="AY225" s="7"/>
      <c r="AZ225" s="7"/>
      <c r="BA225" s="7"/>
      <c r="BB225" s="5"/>
      <c r="BC225" s="350"/>
      <c r="BD225" s="350"/>
      <c r="BE225" s="350"/>
      <c r="BF225" s="350"/>
      <c r="BG225" s="350"/>
      <c r="BH225" s="350"/>
      <c r="BI225" s="350"/>
      <c r="BJ225" s="350"/>
      <c r="BK225" s="350"/>
      <c r="BL225" s="350"/>
      <c r="BM225" s="350"/>
      <c r="BN225" s="350"/>
      <c r="BO225" s="350"/>
      <c r="BP225" s="350"/>
      <c r="BQ225" s="350"/>
      <c r="BR225" s="350"/>
      <c r="BS225" s="350"/>
      <c r="BT225" s="350"/>
      <c r="BU225" s="350"/>
      <c r="BV225" s="350"/>
      <c r="BW225" s="350"/>
      <c r="BX225" s="350"/>
      <c r="BY225" s="350"/>
    </row>
    <row r="226">
      <c r="A226" s="493"/>
      <c r="B226" s="7"/>
      <c r="C226" s="7"/>
      <c r="D226" s="7"/>
      <c r="E226" s="7"/>
      <c r="F226" s="5"/>
      <c r="G226" s="710"/>
      <c r="H226" s="710"/>
      <c r="I226" s="709"/>
      <c r="J226" s="710"/>
      <c r="K226" s="710"/>
      <c r="L226" s="710"/>
      <c r="M226" s="710"/>
      <c r="N226" s="712"/>
      <c r="O226" s="5"/>
      <c r="P226" s="712"/>
      <c r="Q226" s="7"/>
      <c r="R226" s="7"/>
      <c r="S226" s="7"/>
      <c r="T226" s="5"/>
      <c r="U226" s="710"/>
      <c r="V226" s="714"/>
      <c r="W226" s="714"/>
      <c r="X226" s="714"/>
      <c r="Y226" s="714"/>
      <c r="Z226" s="712"/>
      <c r="AA226" s="7"/>
      <c r="AB226" s="7"/>
      <c r="AC226" s="7"/>
      <c r="AD226" s="5"/>
      <c r="AE226" s="714"/>
      <c r="AF226" s="714"/>
      <c r="AG226" s="714"/>
      <c r="AH226" s="710"/>
      <c r="AI226" s="710"/>
      <c r="AJ226" s="710"/>
      <c r="AK226" s="710"/>
      <c r="AL226" s="710"/>
      <c r="AM226" s="710"/>
      <c r="AN226" s="710"/>
      <c r="AO226" s="710"/>
      <c r="AP226" s="710"/>
      <c r="AQ226" s="710"/>
      <c r="AR226" s="710"/>
      <c r="AS226" s="710"/>
      <c r="AT226" s="710"/>
      <c r="AU226" s="710"/>
      <c r="AV226" s="710"/>
      <c r="AW226" s="493"/>
      <c r="AX226" s="7"/>
      <c r="AY226" s="7"/>
      <c r="AZ226" s="7"/>
      <c r="BA226" s="7"/>
      <c r="BB226" s="5"/>
      <c r="BC226" s="350"/>
      <c r="BD226" s="350"/>
      <c r="BE226" s="350"/>
      <c r="BF226" s="350"/>
      <c r="BG226" s="350"/>
      <c r="BH226" s="350"/>
      <c r="BI226" s="350"/>
      <c r="BJ226" s="350"/>
      <c r="BK226" s="350"/>
      <c r="BL226" s="350"/>
      <c r="BM226" s="350"/>
      <c r="BN226" s="350"/>
      <c r="BO226" s="350"/>
      <c r="BP226" s="350"/>
      <c r="BQ226" s="350"/>
      <c r="BR226" s="350"/>
      <c r="BS226" s="350"/>
      <c r="BT226" s="350"/>
      <c r="BU226" s="350"/>
      <c r="BV226" s="350"/>
      <c r="BW226" s="350"/>
      <c r="BX226" s="350"/>
      <c r="BY226" s="350"/>
    </row>
    <row r="227">
      <c r="A227" s="493"/>
      <c r="B227" s="7"/>
      <c r="C227" s="7"/>
      <c r="D227" s="7"/>
      <c r="E227" s="7"/>
      <c r="F227" s="5"/>
      <c r="G227" s="710"/>
      <c r="H227" s="710"/>
      <c r="I227" s="709"/>
      <c r="J227" s="710"/>
      <c r="K227" s="710"/>
      <c r="L227" s="710"/>
      <c r="M227" s="710"/>
      <c r="N227" s="712"/>
      <c r="O227" s="5"/>
      <c r="P227" s="712"/>
      <c r="Q227" s="7"/>
      <c r="R227" s="7"/>
      <c r="S227" s="7"/>
      <c r="T227" s="5"/>
      <c r="U227" s="710"/>
      <c r="V227" s="714"/>
      <c r="W227" s="714"/>
      <c r="X227" s="714"/>
      <c r="Y227" s="714"/>
      <c r="Z227" s="712"/>
      <c r="AA227" s="7"/>
      <c r="AB227" s="7"/>
      <c r="AC227" s="7"/>
      <c r="AD227" s="5"/>
      <c r="AE227" s="714"/>
      <c r="AF227" s="714"/>
      <c r="AG227" s="714"/>
      <c r="AH227" s="710"/>
      <c r="AI227" s="710"/>
      <c r="AJ227" s="710"/>
      <c r="AK227" s="710"/>
      <c r="AL227" s="710"/>
      <c r="AM227" s="710"/>
      <c r="AN227" s="710"/>
      <c r="AO227" s="710"/>
      <c r="AP227" s="710"/>
      <c r="AQ227" s="710"/>
      <c r="AR227" s="710"/>
      <c r="AS227" s="710"/>
      <c r="AT227" s="710"/>
      <c r="AU227" s="710"/>
      <c r="AV227" s="710"/>
      <c r="AW227" s="493"/>
      <c r="AX227" s="7"/>
      <c r="AY227" s="7"/>
      <c r="AZ227" s="7"/>
      <c r="BA227" s="7"/>
      <c r="BB227" s="5"/>
      <c r="BC227" s="350"/>
      <c r="BD227" s="350"/>
      <c r="BE227" s="350"/>
      <c r="BF227" s="350"/>
      <c r="BG227" s="350"/>
      <c r="BH227" s="350"/>
      <c r="BI227" s="350"/>
      <c r="BJ227" s="730" t="str">
        <f>#REF!</f>
        <v>#REF!</v>
      </c>
      <c r="BK227" s="350"/>
      <c r="BL227" s="350"/>
      <c r="BM227" s="350"/>
      <c r="BN227" s="350"/>
      <c r="BO227" s="350"/>
      <c r="BP227" s="350"/>
      <c r="BQ227" s="350"/>
      <c r="BR227" s="350"/>
      <c r="BS227" s="350"/>
      <c r="BT227" s="350"/>
      <c r="BU227" s="350"/>
      <c r="BV227" s="350"/>
      <c r="BW227" s="350"/>
      <c r="BX227" s="350"/>
      <c r="BY227" s="350"/>
    </row>
    <row r="228">
      <c r="A228" s="493"/>
      <c r="B228" s="7"/>
      <c r="C228" s="7"/>
      <c r="D228" s="7"/>
      <c r="E228" s="7"/>
      <c r="F228" s="5"/>
      <c r="G228" s="710"/>
      <c r="H228" s="710"/>
      <c r="I228" s="709"/>
      <c r="J228" s="710"/>
      <c r="K228" s="710"/>
      <c r="L228" s="710"/>
      <c r="M228" s="710"/>
      <c r="N228" s="712"/>
      <c r="O228" s="5"/>
      <c r="P228" s="712"/>
      <c r="Q228" s="7"/>
      <c r="R228" s="7"/>
      <c r="S228" s="7"/>
      <c r="T228" s="5"/>
      <c r="U228" s="710"/>
      <c r="V228" s="714"/>
      <c r="W228" s="714"/>
      <c r="X228" s="714"/>
      <c r="Y228" s="714"/>
      <c r="Z228" s="712"/>
      <c r="AA228" s="7"/>
      <c r="AB228" s="7"/>
      <c r="AC228" s="7"/>
      <c r="AD228" s="5"/>
      <c r="AE228" s="714"/>
      <c r="AF228" s="714"/>
      <c r="AG228" s="714"/>
      <c r="AH228" s="710"/>
      <c r="AI228" s="710"/>
      <c r="AJ228" s="710"/>
      <c r="AK228" s="710"/>
      <c r="AL228" s="710"/>
      <c r="AM228" s="710"/>
      <c r="AN228" s="710"/>
      <c r="AO228" s="710"/>
      <c r="AP228" s="710"/>
      <c r="AQ228" s="710"/>
      <c r="AR228" s="710"/>
      <c r="AS228" s="710"/>
      <c r="AT228" s="710"/>
      <c r="AU228" s="710"/>
      <c r="AV228" s="710"/>
      <c r="AW228" s="493"/>
      <c r="AX228" s="7"/>
      <c r="AY228" s="7"/>
      <c r="AZ228" s="7"/>
      <c r="BA228" s="7"/>
      <c r="BB228" s="5"/>
      <c r="BC228" s="350"/>
      <c r="BD228" s="350"/>
      <c r="BE228" s="350"/>
      <c r="BF228" s="350"/>
      <c r="BG228" s="350"/>
      <c r="BH228" s="350"/>
      <c r="BI228" s="350"/>
      <c r="BJ228" s="350"/>
      <c r="BK228" s="350"/>
      <c r="BL228" s="350"/>
      <c r="BM228" s="350"/>
      <c r="BN228" s="350"/>
      <c r="BO228" s="350"/>
      <c r="BP228" s="350"/>
      <c r="BQ228" s="350"/>
      <c r="BR228" s="350"/>
      <c r="BS228" s="350"/>
      <c r="BT228" s="350"/>
      <c r="BU228" s="350"/>
      <c r="BV228" s="350"/>
      <c r="BW228" s="350"/>
      <c r="BX228" s="350"/>
      <c r="BY228" s="350"/>
    </row>
    <row r="229">
      <c r="A229" s="493"/>
      <c r="B229" s="7"/>
      <c r="C229" s="7"/>
      <c r="D229" s="7"/>
      <c r="E229" s="7"/>
      <c r="F229" s="5"/>
      <c r="G229" s="710"/>
      <c r="H229" s="710"/>
      <c r="I229" s="709"/>
      <c r="J229" s="710"/>
      <c r="K229" s="710"/>
      <c r="L229" s="710"/>
      <c r="M229" s="710"/>
      <c r="N229" s="712"/>
      <c r="O229" s="5"/>
      <c r="P229" s="712"/>
      <c r="Q229" s="7"/>
      <c r="R229" s="7"/>
      <c r="S229" s="7"/>
      <c r="T229" s="5"/>
      <c r="U229" s="710"/>
      <c r="V229" s="714"/>
      <c r="W229" s="714"/>
      <c r="X229" s="714"/>
      <c r="Y229" s="714"/>
      <c r="Z229" s="712"/>
      <c r="AA229" s="7"/>
      <c r="AB229" s="7"/>
      <c r="AC229" s="7"/>
      <c r="AD229" s="5"/>
      <c r="AE229" s="714"/>
      <c r="AF229" s="714"/>
      <c r="AG229" s="714"/>
      <c r="AH229" s="710"/>
      <c r="AI229" s="710"/>
      <c r="AJ229" s="710"/>
      <c r="AK229" s="710"/>
      <c r="AL229" s="710"/>
      <c r="AM229" s="710"/>
      <c r="AN229" s="710"/>
      <c r="AO229" s="710"/>
      <c r="AP229" s="710"/>
      <c r="AQ229" s="710"/>
      <c r="AR229" s="710"/>
      <c r="AS229" s="710"/>
      <c r="AT229" s="710"/>
      <c r="AU229" s="710"/>
      <c r="AV229" s="710"/>
      <c r="AW229" s="493"/>
      <c r="AX229" s="7"/>
      <c r="AY229" s="7"/>
      <c r="AZ229" s="7"/>
      <c r="BA229" s="7"/>
      <c r="BB229" s="5"/>
      <c r="BC229" s="350"/>
      <c r="BD229" s="350"/>
      <c r="BE229" s="350"/>
      <c r="BF229" s="350"/>
      <c r="BG229" s="350"/>
      <c r="BH229" s="350"/>
      <c r="BI229" s="350"/>
      <c r="BJ229" s="350"/>
      <c r="BK229" s="350"/>
      <c r="BL229" s="350"/>
      <c r="BM229" s="350"/>
      <c r="BN229" s="350"/>
      <c r="BO229" s="350"/>
      <c r="BP229" s="350"/>
      <c r="BQ229" s="350"/>
      <c r="BR229" s="350"/>
      <c r="BS229" s="350"/>
      <c r="BT229" s="350"/>
      <c r="BU229" s="350"/>
      <c r="BV229" s="350"/>
      <c r="BW229" s="350"/>
      <c r="BX229" s="350"/>
      <c r="BY229" s="350"/>
    </row>
    <row r="230">
      <c r="A230" s="493"/>
      <c r="B230" s="7"/>
      <c r="C230" s="7"/>
      <c r="D230" s="7"/>
      <c r="E230" s="7"/>
      <c r="F230" s="5"/>
      <c r="G230" s="710"/>
      <c r="H230" s="710"/>
      <c r="I230" s="709"/>
      <c r="J230" s="710"/>
      <c r="K230" s="710"/>
      <c r="L230" s="710"/>
      <c r="M230" s="710"/>
      <c r="N230" s="712"/>
      <c r="O230" s="5"/>
      <c r="P230" s="712"/>
      <c r="Q230" s="7"/>
      <c r="R230" s="7"/>
      <c r="S230" s="7"/>
      <c r="T230" s="5"/>
      <c r="U230" s="710"/>
      <c r="V230" s="714"/>
      <c r="W230" s="714"/>
      <c r="X230" s="714"/>
      <c r="Y230" s="714"/>
      <c r="Z230" s="712"/>
      <c r="AA230" s="7"/>
      <c r="AB230" s="7"/>
      <c r="AC230" s="7"/>
      <c r="AD230" s="5"/>
      <c r="AE230" s="714"/>
      <c r="AF230" s="714"/>
      <c r="AG230" s="714"/>
      <c r="AH230" s="710"/>
      <c r="AI230" s="710"/>
      <c r="AJ230" s="710"/>
      <c r="AK230" s="710"/>
      <c r="AL230" s="710"/>
      <c r="AM230" s="710"/>
      <c r="AN230" s="710"/>
      <c r="AO230" s="710"/>
      <c r="AP230" s="710"/>
      <c r="AQ230" s="710"/>
      <c r="AR230" s="710"/>
      <c r="AS230" s="710"/>
      <c r="AT230" s="710"/>
      <c r="AU230" s="710"/>
      <c r="AV230" s="710"/>
      <c r="AW230" s="493"/>
      <c r="AX230" s="7"/>
      <c r="AY230" s="7"/>
      <c r="AZ230" s="7"/>
      <c r="BA230" s="7"/>
      <c r="BB230" s="5"/>
      <c r="BC230" s="350"/>
      <c r="BD230" s="350"/>
      <c r="BE230" s="350"/>
      <c r="BF230" s="350"/>
      <c r="BG230" s="350"/>
      <c r="BH230" s="350"/>
      <c r="BI230" s="350"/>
      <c r="BJ230" s="350"/>
      <c r="BK230" s="350"/>
      <c r="BL230" s="350"/>
      <c r="BM230" s="350"/>
      <c r="BN230" s="350"/>
      <c r="BO230" s="350"/>
      <c r="BP230" s="350"/>
      <c r="BQ230" s="350"/>
      <c r="BR230" s="350"/>
      <c r="BS230" s="350"/>
      <c r="BT230" s="350"/>
      <c r="BU230" s="350"/>
      <c r="BV230" s="350"/>
      <c r="BW230" s="350"/>
      <c r="BX230" s="350"/>
      <c r="BY230" s="350"/>
    </row>
    <row r="231">
      <c r="A231" s="493"/>
      <c r="B231" s="7"/>
      <c r="C231" s="7"/>
      <c r="D231" s="7"/>
      <c r="E231" s="7"/>
      <c r="F231" s="5"/>
      <c r="G231" s="710"/>
      <c r="H231" s="710"/>
      <c r="I231" s="709"/>
      <c r="J231" s="710"/>
      <c r="K231" s="710"/>
      <c r="L231" s="710"/>
      <c r="M231" s="710"/>
      <c r="N231" s="712"/>
      <c r="O231" s="5"/>
      <c r="P231" s="712"/>
      <c r="Q231" s="7"/>
      <c r="R231" s="7"/>
      <c r="S231" s="7"/>
      <c r="T231" s="5"/>
      <c r="U231" s="710"/>
      <c r="V231" s="714"/>
      <c r="W231" s="714"/>
      <c r="X231" s="714"/>
      <c r="Y231" s="714"/>
      <c r="Z231" s="712"/>
      <c r="AA231" s="7"/>
      <c r="AB231" s="7"/>
      <c r="AC231" s="7"/>
      <c r="AD231" s="5"/>
      <c r="AE231" s="714"/>
      <c r="AF231" s="714"/>
      <c r="AG231" s="714"/>
      <c r="AH231" s="710"/>
      <c r="AI231" s="710"/>
      <c r="AJ231" s="710"/>
      <c r="AK231" s="710"/>
      <c r="AL231" s="710"/>
      <c r="AM231" s="710"/>
      <c r="AN231" s="710"/>
      <c r="AO231" s="710"/>
      <c r="AP231" s="710"/>
      <c r="AQ231" s="710"/>
      <c r="AR231" s="710"/>
      <c r="AS231" s="710"/>
      <c r="AT231" s="710"/>
      <c r="AU231" s="710"/>
      <c r="AV231" s="710"/>
      <c r="AW231" s="493"/>
      <c r="AX231" s="7"/>
      <c r="AY231" s="7"/>
      <c r="AZ231" s="7"/>
      <c r="BA231" s="7"/>
      <c r="BB231" s="5"/>
      <c r="BC231" s="350"/>
      <c r="BD231" s="350"/>
      <c r="BE231" s="350"/>
      <c r="BF231" s="350"/>
      <c r="BG231" s="350"/>
      <c r="BH231" s="350"/>
      <c r="BI231" s="350"/>
      <c r="BJ231" s="350"/>
      <c r="BK231" s="350"/>
      <c r="BL231" s="350"/>
      <c r="BM231" s="350"/>
      <c r="BN231" s="350"/>
      <c r="BO231" s="350"/>
      <c r="BP231" s="350"/>
      <c r="BQ231" s="350"/>
      <c r="BR231" s="350"/>
      <c r="BS231" s="350"/>
      <c r="BT231" s="350"/>
      <c r="BU231" s="350"/>
      <c r="BV231" s="350"/>
      <c r="BW231" s="350"/>
      <c r="BX231" s="350"/>
      <c r="BY231" s="350"/>
    </row>
    <row r="232">
      <c r="A232" s="493"/>
      <c r="B232" s="7"/>
      <c r="C232" s="7"/>
      <c r="D232" s="7"/>
      <c r="E232" s="7"/>
      <c r="F232" s="5"/>
      <c r="G232" s="710"/>
      <c r="H232" s="710"/>
      <c r="I232" s="709"/>
      <c r="J232" s="710"/>
      <c r="K232" s="710"/>
      <c r="L232" s="710"/>
      <c r="M232" s="710"/>
      <c r="N232" s="712"/>
      <c r="O232" s="5"/>
      <c r="P232" s="712"/>
      <c r="Q232" s="7"/>
      <c r="R232" s="7"/>
      <c r="S232" s="7"/>
      <c r="T232" s="5"/>
      <c r="U232" s="710"/>
      <c r="V232" s="714"/>
      <c r="W232" s="714"/>
      <c r="X232" s="714"/>
      <c r="Y232" s="714"/>
      <c r="Z232" s="712"/>
      <c r="AA232" s="7"/>
      <c r="AB232" s="7"/>
      <c r="AC232" s="7"/>
      <c r="AD232" s="5"/>
      <c r="AE232" s="714"/>
      <c r="AF232" s="714"/>
      <c r="AG232" s="714"/>
      <c r="AH232" s="710"/>
      <c r="AI232" s="710"/>
      <c r="AJ232" s="710"/>
      <c r="AK232" s="710"/>
      <c r="AL232" s="710"/>
      <c r="AM232" s="710"/>
      <c r="AN232" s="710"/>
      <c r="AO232" s="710"/>
      <c r="AP232" s="710"/>
      <c r="AQ232" s="710"/>
      <c r="AR232" s="710"/>
      <c r="AS232" s="710"/>
      <c r="AT232" s="710"/>
      <c r="AU232" s="710"/>
      <c r="AV232" s="710"/>
      <c r="AW232" s="493"/>
      <c r="AX232" s="7"/>
      <c r="AY232" s="7"/>
      <c r="AZ232" s="7"/>
      <c r="BA232" s="7"/>
      <c r="BB232" s="5"/>
      <c r="BC232" s="350"/>
      <c r="BD232" s="350"/>
      <c r="BE232" s="350"/>
      <c r="BF232" s="350"/>
      <c r="BG232" s="350"/>
      <c r="BH232" s="350"/>
      <c r="BI232" s="350"/>
      <c r="BJ232" s="350"/>
      <c r="BK232" s="350"/>
      <c r="BL232" s="350"/>
      <c r="BM232" s="350"/>
      <c r="BN232" s="350"/>
      <c r="BO232" s="350"/>
      <c r="BP232" s="350"/>
      <c r="BQ232" s="350"/>
      <c r="BR232" s="350"/>
      <c r="BS232" s="350"/>
      <c r="BT232" s="350"/>
      <c r="BU232" s="350"/>
      <c r="BV232" s="350"/>
      <c r="BW232" s="350"/>
      <c r="BX232" s="350"/>
      <c r="BY232" s="350"/>
    </row>
    <row r="233">
      <c r="A233" s="493"/>
      <c r="B233" s="7"/>
      <c r="C233" s="7"/>
      <c r="D233" s="7"/>
      <c r="E233" s="7"/>
      <c r="F233" s="5"/>
      <c r="G233" s="710"/>
      <c r="H233" s="710"/>
      <c r="I233" s="709"/>
      <c r="J233" s="710"/>
      <c r="K233" s="710"/>
      <c r="L233" s="710"/>
      <c r="M233" s="710"/>
      <c r="N233" s="712"/>
      <c r="O233" s="5"/>
      <c r="P233" s="712"/>
      <c r="Q233" s="7"/>
      <c r="R233" s="7"/>
      <c r="S233" s="7"/>
      <c r="T233" s="5"/>
      <c r="U233" s="710"/>
      <c r="V233" s="714"/>
      <c r="W233" s="714"/>
      <c r="X233" s="714"/>
      <c r="Y233" s="714"/>
      <c r="Z233" s="712"/>
      <c r="AA233" s="7"/>
      <c r="AB233" s="7"/>
      <c r="AC233" s="7"/>
      <c r="AD233" s="5"/>
      <c r="AE233" s="714"/>
      <c r="AF233" s="714"/>
      <c r="AG233" s="714"/>
      <c r="AH233" s="710"/>
      <c r="AI233" s="710"/>
      <c r="AJ233" s="710"/>
      <c r="AK233" s="710"/>
      <c r="AL233" s="710"/>
      <c r="AM233" s="710"/>
      <c r="AN233" s="710"/>
      <c r="AO233" s="710"/>
      <c r="AP233" s="710"/>
      <c r="AQ233" s="710"/>
      <c r="AR233" s="710"/>
      <c r="AS233" s="710"/>
      <c r="AT233" s="710"/>
      <c r="AU233" s="710"/>
      <c r="AV233" s="710"/>
      <c r="AW233" s="493"/>
      <c r="AX233" s="7"/>
      <c r="AY233" s="7"/>
      <c r="AZ233" s="7"/>
      <c r="BA233" s="7"/>
      <c r="BB233" s="5"/>
      <c r="BC233" s="350"/>
      <c r="BD233" s="350"/>
      <c r="BE233" s="350"/>
      <c r="BF233" s="350"/>
      <c r="BG233" s="350"/>
      <c r="BH233" s="350"/>
      <c r="BI233" s="350"/>
      <c r="BJ233" s="350"/>
      <c r="BK233" s="350"/>
      <c r="BL233" s="350"/>
      <c r="BM233" s="350"/>
      <c r="BN233" s="350"/>
      <c r="BO233" s="350"/>
      <c r="BP233" s="350"/>
      <c r="BQ233" s="350"/>
      <c r="BR233" s="350"/>
      <c r="BS233" s="350"/>
      <c r="BT233" s="350"/>
      <c r="BU233" s="350"/>
      <c r="BV233" s="350"/>
      <c r="BW233" s="350"/>
      <c r="BX233" s="350"/>
      <c r="BY233" s="350"/>
    </row>
    <row r="234">
      <c r="A234" s="493"/>
      <c r="B234" s="7"/>
      <c r="C234" s="7"/>
      <c r="D234" s="7"/>
      <c r="E234" s="7"/>
      <c r="F234" s="5"/>
      <c r="G234" s="710"/>
      <c r="H234" s="710"/>
      <c r="I234" s="709"/>
      <c r="J234" s="710"/>
      <c r="K234" s="710"/>
      <c r="L234" s="710"/>
      <c r="M234" s="710"/>
      <c r="N234" s="712"/>
      <c r="O234" s="5"/>
      <c r="P234" s="712"/>
      <c r="Q234" s="7"/>
      <c r="R234" s="7"/>
      <c r="S234" s="7"/>
      <c r="T234" s="5"/>
      <c r="U234" s="710"/>
      <c r="V234" s="714"/>
      <c r="W234" s="714"/>
      <c r="X234" s="714"/>
      <c r="Y234" s="714"/>
      <c r="Z234" s="712"/>
      <c r="AA234" s="7"/>
      <c r="AB234" s="7"/>
      <c r="AC234" s="7"/>
      <c r="AD234" s="5"/>
      <c r="AE234" s="714"/>
      <c r="AF234" s="714"/>
      <c r="AG234" s="714"/>
      <c r="AH234" s="710"/>
      <c r="AI234" s="710"/>
      <c r="AJ234" s="710"/>
      <c r="AK234" s="710"/>
      <c r="AL234" s="710"/>
      <c r="AM234" s="710"/>
      <c r="AN234" s="710"/>
      <c r="AO234" s="710"/>
      <c r="AP234" s="710"/>
      <c r="AQ234" s="710"/>
      <c r="AR234" s="710"/>
      <c r="AS234" s="710"/>
      <c r="AT234" s="710"/>
      <c r="AU234" s="710"/>
      <c r="AV234" s="710"/>
      <c r="AW234" s="493"/>
      <c r="AX234" s="7"/>
      <c r="AY234" s="7"/>
      <c r="AZ234" s="7"/>
      <c r="BA234" s="7"/>
      <c r="BB234" s="5"/>
      <c r="BC234" s="350"/>
      <c r="BD234" s="350"/>
      <c r="BE234" s="350"/>
      <c r="BF234" s="350"/>
      <c r="BG234" s="350"/>
      <c r="BH234" s="350"/>
      <c r="BI234" s="350"/>
      <c r="BJ234" s="350"/>
      <c r="BK234" s="350"/>
      <c r="BL234" s="350"/>
      <c r="BM234" s="350"/>
      <c r="BN234" s="350"/>
      <c r="BO234" s="350"/>
      <c r="BP234" s="350"/>
      <c r="BQ234" s="350"/>
      <c r="BR234" s="350"/>
      <c r="BS234" s="350"/>
      <c r="BT234" s="350"/>
      <c r="BU234" s="350"/>
      <c r="BV234" s="350"/>
      <c r="BW234" s="350"/>
      <c r="BX234" s="350"/>
      <c r="BY234" s="350"/>
    </row>
    <row r="235">
      <c r="A235" s="677"/>
      <c r="U235" s="655"/>
      <c r="V235" s="358"/>
      <c r="AH235" s="656"/>
      <c r="AI235" s="677"/>
      <c r="BC235" s="350"/>
      <c r="BD235" s="350"/>
      <c r="BE235" s="350"/>
      <c r="BF235" s="350"/>
      <c r="BG235" s="350"/>
      <c r="BH235" s="350"/>
      <c r="BI235" s="350"/>
      <c r="BJ235" s="350"/>
      <c r="BK235" s="350"/>
      <c r="BL235" s="350"/>
      <c r="BM235" s="350"/>
      <c r="BN235" s="350"/>
      <c r="BO235" s="350"/>
      <c r="BP235" s="350"/>
      <c r="BQ235" s="350"/>
      <c r="BR235" s="350"/>
      <c r="BS235" s="350"/>
      <c r="BT235" s="350"/>
      <c r="BU235" s="350"/>
      <c r="BV235" s="350"/>
      <c r="BW235" s="350"/>
      <c r="BX235" s="350"/>
      <c r="BY235" s="350"/>
    </row>
    <row r="236">
      <c r="A236" s="703" t="s">
        <v>961</v>
      </c>
      <c r="B236" s="7"/>
      <c r="C236" s="7"/>
      <c r="D236" s="7"/>
      <c r="E236" s="7"/>
      <c r="F236" s="5"/>
      <c r="G236" s="702">
        <v>1.0</v>
      </c>
      <c r="H236" s="702">
        <v>2.0</v>
      </c>
      <c r="I236" s="702">
        <v>3.0</v>
      </c>
      <c r="J236" s="702">
        <v>4.0</v>
      </c>
      <c r="K236" s="702">
        <v>5.0</v>
      </c>
      <c r="L236" s="702">
        <v>6.0</v>
      </c>
      <c r="M236" s="702">
        <v>7.0</v>
      </c>
      <c r="N236" s="702">
        <v>8.0</v>
      </c>
      <c r="O236" s="702">
        <v>9.0</v>
      </c>
      <c r="P236" s="702">
        <v>10.0</v>
      </c>
      <c r="Q236" s="702">
        <v>11.0</v>
      </c>
      <c r="R236" s="702">
        <v>12.0</v>
      </c>
      <c r="S236" s="702">
        <v>13.0</v>
      </c>
      <c r="T236" s="702">
        <v>14.0</v>
      </c>
      <c r="U236" s="702">
        <v>15.0</v>
      </c>
      <c r="V236" s="702">
        <v>16.0</v>
      </c>
      <c r="W236" s="702">
        <v>17.0</v>
      </c>
      <c r="X236" s="702">
        <v>18.0</v>
      </c>
      <c r="Y236" s="702">
        <v>19.0</v>
      </c>
      <c r="Z236" s="702">
        <v>20.0</v>
      </c>
      <c r="AA236" s="731" t="s">
        <v>962</v>
      </c>
      <c r="AB236" s="731" t="s">
        <v>963</v>
      </c>
      <c r="AC236" s="704" t="s">
        <v>555</v>
      </c>
      <c r="AD236" s="7"/>
      <c r="AE236" s="7"/>
      <c r="AF236" s="7"/>
      <c r="AG236" s="7"/>
      <c r="AH236" s="7"/>
      <c r="AI236" s="7"/>
      <c r="AJ236" s="7"/>
      <c r="AK236" s="5"/>
      <c r="AL236" s="706"/>
      <c r="AM236" s="706"/>
      <c r="AN236" s="626" t="s">
        <v>964</v>
      </c>
      <c r="AO236" s="7"/>
      <c r="AP236" s="7"/>
      <c r="AQ236" s="7"/>
      <c r="AR236" s="7"/>
      <c r="AS236" s="5"/>
      <c r="AT236" s="626" t="s">
        <v>965</v>
      </c>
      <c r="AU236" s="7"/>
      <c r="AV236" s="7"/>
      <c r="AW236" s="7"/>
      <c r="AX236" s="7"/>
      <c r="AY236" s="5"/>
      <c r="AZ236" s="350"/>
      <c r="BA236" s="350"/>
      <c r="BB236" s="350"/>
      <c r="BC236" s="350"/>
      <c r="BD236" s="350"/>
      <c r="BE236" s="350"/>
      <c r="BF236" s="350"/>
      <c r="BG236" s="350"/>
      <c r="BH236" s="350"/>
      <c r="BI236" s="350"/>
      <c r="BJ236" s="350"/>
      <c r="BK236" s="350"/>
      <c r="BL236" s="350"/>
      <c r="BM236" s="350"/>
      <c r="BN236" s="350"/>
      <c r="BO236" s="350"/>
      <c r="BP236" s="350"/>
      <c r="BQ236" s="350"/>
      <c r="BR236" s="350"/>
      <c r="BS236" s="350"/>
      <c r="BT236" s="350"/>
      <c r="BU236" s="350"/>
      <c r="BV236" s="350"/>
      <c r="BW236" s="350"/>
      <c r="BX236" s="350"/>
      <c r="BY236" s="350"/>
    </row>
    <row r="237">
      <c r="A237" s="707" t="s">
        <v>966</v>
      </c>
      <c r="B237" s="7"/>
      <c r="C237" s="7"/>
      <c r="D237" s="7"/>
      <c r="E237" s="7"/>
      <c r="F237" s="5"/>
      <c r="G237" s="732"/>
      <c r="H237" s="732"/>
      <c r="I237" s="708"/>
      <c r="J237" s="710"/>
      <c r="K237" s="732"/>
      <c r="L237" s="710"/>
      <c r="M237" s="710"/>
      <c r="N237" s="714"/>
      <c r="O237" s="710"/>
      <c r="P237" s="710"/>
      <c r="Q237" s="714"/>
      <c r="R237" s="710"/>
      <c r="S237" s="713"/>
      <c r="T237" s="710"/>
      <c r="U237" s="710"/>
      <c r="V237" s="714"/>
      <c r="W237" s="708"/>
      <c r="X237" s="710"/>
      <c r="Y237" s="710"/>
      <c r="Z237" s="708"/>
      <c r="AA237" s="733">
        <v>6.0</v>
      </c>
      <c r="AB237" s="733">
        <v>12.0</v>
      </c>
      <c r="AC237" s="710"/>
      <c r="AD237" s="710"/>
      <c r="AE237" s="710"/>
      <c r="AF237" s="710"/>
      <c r="AG237" s="710"/>
      <c r="AH237" s="710"/>
      <c r="AI237" s="710"/>
      <c r="AJ237" s="710"/>
      <c r="AK237" s="710"/>
      <c r="AL237" s="710"/>
      <c r="AM237" s="710"/>
      <c r="AN237" s="734"/>
      <c r="AO237" s="7"/>
      <c r="AP237" s="7"/>
      <c r="AQ237" s="7"/>
      <c r="AR237" s="7"/>
      <c r="AS237" s="5"/>
      <c r="AT237" s="734"/>
      <c r="AU237" s="7"/>
      <c r="AV237" s="7"/>
      <c r="AW237" s="7"/>
      <c r="AX237" s="7"/>
      <c r="AY237" s="5"/>
      <c r="AZ237" s="350"/>
      <c r="BA237" s="350"/>
      <c r="BB237" s="350"/>
      <c r="BC237" s="350"/>
      <c r="BD237" s="350"/>
      <c r="BE237" s="350"/>
      <c r="BF237" s="350"/>
      <c r="BG237" s="350"/>
      <c r="BH237" s="350"/>
      <c r="BI237" s="350"/>
      <c r="BJ237" s="350"/>
      <c r="BK237" s="350"/>
      <c r="BL237" s="350"/>
      <c r="BM237" s="350"/>
      <c r="BN237" s="350"/>
      <c r="BO237" s="350"/>
      <c r="BP237" s="350"/>
      <c r="BQ237" s="350"/>
      <c r="BR237" s="350"/>
      <c r="BS237" s="350"/>
      <c r="BT237" s="350"/>
      <c r="BU237" s="350"/>
      <c r="BV237" s="350"/>
      <c r="BW237" s="350"/>
      <c r="BX237" s="350"/>
      <c r="BY237" s="350"/>
    </row>
    <row r="238">
      <c r="A238" s="716" t="s">
        <v>967</v>
      </c>
      <c r="B238" s="7"/>
      <c r="C238" s="7"/>
      <c r="D238" s="7"/>
      <c r="E238" s="7"/>
      <c r="F238" s="5"/>
      <c r="G238" s="732"/>
      <c r="H238" s="732"/>
      <c r="I238" s="732"/>
      <c r="J238" s="710"/>
      <c r="K238" s="708"/>
      <c r="L238" s="708"/>
      <c r="M238" s="714"/>
      <c r="N238" s="714"/>
      <c r="O238" s="714"/>
      <c r="P238" s="714"/>
      <c r="Q238" s="714"/>
      <c r="R238" s="710"/>
      <c r="S238" s="708"/>
      <c r="T238" s="710"/>
      <c r="U238" s="714"/>
      <c r="V238" s="714"/>
      <c r="W238" s="714"/>
      <c r="X238" s="710"/>
      <c r="Y238" s="710"/>
      <c r="Z238" s="713"/>
      <c r="AA238" s="733">
        <v>10.0</v>
      </c>
      <c r="AB238" s="733">
        <v>8.0</v>
      </c>
      <c r="AC238" s="710"/>
      <c r="AD238" s="710"/>
      <c r="AE238" s="710"/>
      <c r="AF238" s="710"/>
      <c r="AG238" s="710"/>
      <c r="AH238" s="710"/>
      <c r="AI238" s="710"/>
      <c r="AJ238" s="710"/>
      <c r="AK238" s="710"/>
      <c r="AL238" s="710"/>
      <c r="AM238" s="710"/>
      <c r="AN238" s="734"/>
      <c r="AO238" s="7"/>
      <c r="AP238" s="7"/>
      <c r="AQ238" s="7"/>
      <c r="AR238" s="7"/>
      <c r="AS238" s="5"/>
      <c r="AT238" s="734"/>
      <c r="AU238" s="7"/>
      <c r="AV238" s="7"/>
      <c r="AW238" s="7"/>
      <c r="AX238" s="7"/>
      <c r="AY238" s="5"/>
      <c r="AZ238" s="350"/>
      <c r="BA238" s="350"/>
      <c r="BB238" s="350"/>
      <c r="BC238" s="350"/>
      <c r="BD238" s="350"/>
      <c r="BE238" s="350"/>
      <c r="BF238" s="350"/>
      <c r="BG238" s="350"/>
      <c r="BH238" s="350"/>
      <c r="BI238" s="350"/>
      <c r="BJ238" s="350"/>
      <c r="BK238" s="350"/>
      <c r="BL238" s="350"/>
      <c r="BM238" s="350"/>
      <c r="BN238" s="350"/>
      <c r="BO238" s="350"/>
      <c r="BP238" s="350"/>
      <c r="BQ238" s="350"/>
      <c r="BR238" s="350"/>
      <c r="BS238" s="350"/>
      <c r="BT238" s="350"/>
      <c r="BU238" s="350"/>
      <c r="BV238" s="350"/>
      <c r="BW238" s="350"/>
      <c r="BX238" s="350"/>
      <c r="BY238" s="350"/>
    </row>
    <row r="239">
      <c r="A239" s="716" t="s">
        <v>968</v>
      </c>
      <c r="B239" s="7"/>
      <c r="C239" s="7"/>
      <c r="D239" s="7"/>
      <c r="E239" s="7"/>
      <c r="F239" s="5"/>
      <c r="G239" s="732"/>
      <c r="H239" s="732"/>
      <c r="I239" s="714"/>
      <c r="J239" s="710"/>
      <c r="K239" s="708"/>
      <c r="L239" s="710"/>
      <c r="M239" s="714"/>
      <c r="N239" s="714"/>
      <c r="O239" s="714"/>
      <c r="P239" s="714"/>
      <c r="Q239" s="732"/>
      <c r="R239" s="710"/>
      <c r="S239" s="710"/>
      <c r="T239" s="710"/>
      <c r="U239" s="714"/>
      <c r="V239" s="714"/>
      <c r="W239" s="714"/>
      <c r="X239" s="710"/>
      <c r="Y239" s="710"/>
      <c r="Z239" s="713"/>
      <c r="AA239" s="733">
        <v>8.0</v>
      </c>
      <c r="AB239" s="733">
        <v>10.0</v>
      </c>
      <c r="AC239" s="710"/>
      <c r="AD239" s="710"/>
      <c r="AE239" s="710"/>
      <c r="AF239" s="710"/>
      <c r="AG239" s="710"/>
      <c r="AH239" s="710"/>
      <c r="AI239" s="710"/>
      <c r="AJ239" s="710"/>
      <c r="AK239" s="710"/>
      <c r="AL239" s="710"/>
      <c r="AM239" s="710"/>
      <c r="AN239" s="734"/>
      <c r="AO239" s="7"/>
      <c r="AP239" s="7"/>
      <c r="AQ239" s="7"/>
      <c r="AR239" s="7"/>
      <c r="AS239" s="5"/>
      <c r="AT239" s="734"/>
      <c r="AU239" s="7"/>
      <c r="AV239" s="7"/>
      <c r="AW239" s="7"/>
      <c r="AX239" s="7"/>
      <c r="AY239" s="5"/>
      <c r="AZ239" s="350"/>
      <c r="BA239" s="350"/>
      <c r="BB239" s="350"/>
      <c r="BC239" s="350"/>
      <c r="BD239" s="350"/>
      <c r="BE239" s="350"/>
      <c r="BF239" s="350"/>
      <c r="BG239" s="350"/>
      <c r="BH239" s="350"/>
      <c r="BI239" s="350"/>
      <c r="BJ239" s="350"/>
      <c r="BK239" s="350"/>
      <c r="BL239" s="350"/>
      <c r="BM239" s="350"/>
      <c r="BN239" s="350"/>
      <c r="BO239" s="350"/>
      <c r="BP239" s="350"/>
      <c r="BQ239" s="350"/>
      <c r="BR239" s="350"/>
      <c r="BS239" s="350"/>
      <c r="BT239" s="350"/>
      <c r="BU239" s="350"/>
      <c r="BV239" s="350"/>
      <c r="BW239" s="350"/>
      <c r="BX239" s="350"/>
      <c r="BY239" s="350"/>
    </row>
    <row r="240">
      <c r="A240" s="716" t="s">
        <v>969</v>
      </c>
      <c r="B240" s="7"/>
      <c r="C240" s="7"/>
      <c r="D240" s="7"/>
      <c r="E240" s="7"/>
      <c r="F240" s="5"/>
      <c r="G240" s="735"/>
      <c r="H240" s="736"/>
      <c r="I240" s="732"/>
      <c r="J240" s="710"/>
      <c r="K240" s="708"/>
      <c r="L240" s="708"/>
      <c r="M240" s="714"/>
      <c r="N240" s="714"/>
      <c r="O240" s="714"/>
      <c r="P240" s="732"/>
      <c r="Q240" s="714"/>
      <c r="R240" s="710"/>
      <c r="S240" s="710"/>
      <c r="T240" s="710"/>
      <c r="U240" s="714"/>
      <c r="V240" s="714"/>
      <c r="W240" s="714"/>
      <c r="X240" s="710"/>
      <c r="Y240" s="710"/>
      <c r="Z240" s="713"/>
      <c r="AA240" s="733">
        <v>8.0</v>
      </c>
      <c r="AB240" s="733">
        <v>10.0</v>
      </c>
      <c r="AC240" s="710"/>
      <c r="AD240" s="710"/>
      <c r="AE240" s="710"/>
      <c r="AF240" s="710"/>
      <c r="AG240" s="710"/>
      <c r="AH240" s="710"/>
      <c r="AI240" s="710"/>
      <c r="AJ240" s="710"/>
      <c r="AK240" s="710"/>
      <c r="AL240" s="710"/>
      <c r="AM240" s="710"/>
      <c r="AN240" s="734"/>
      <c r="AO240" s="7"/>
      <c r="AP240" s="7"/>
      <c r="AQ240" s="7"/>
      <c r="AR240" s="7"/>
      <c r="AS240" s="5"/>
      <c r="AT240" s="734"/>
      <c r="AU240" s="7"/>
      <c r="AV240" s="7"/>
      <c r="AW240" s="7"/>
      <c r="AX240" s="7"/>
      <c r="AY240" s="5"/>
      <c r="AZ240" s="350"/>
      <c r="BA240" s="350"/>
      <c r="BB240" s="350"/>
      <c r="BC240" s="350"/>
      <c r="BD240" s="350"/>
      <c r="BE240" s="350"/>
      <c r="BF240" s="350"/>
      <c r="BG240" s="350"/>
      <c r="BH240" s="350"/>
      <c r="BI240" s="350"/>
      <c r="BJ240" s="350"/>
      <c r="BK240" s="350"/>
      <c r="BL240" s="350"/>
      <c r="BM240" s="350"/>
      <c r="BN240" s="350"/>
      <c r="BO240" s="350"/>
      <c r="BP240" s="350"/>
      <c r="BQ240" s="350"/>
      <c r="BR240" s="350"/>
      <c r="BS240" s="350"/>
      <c r="BT240" s="350"/>
      <c r="BU240" s="350"/>
      <c r="BV240" s="350"/>
      <c r="BW240" s="350"/>
      <c r="BX240" s="350"/>
      <c r="BY240" s="350"/>
    </row>
    <row r="241">
      <c r="A241" s="737" t="s">
        <v>970</v>
      </c>
      <c r="G241" s="732"/>
      <c r="H241" s="714"/>
      <c r="I241" s="732"/>
      <c r="J241" s="710"/>
      <c r="K241" s="708"/>
      <c r="L241" s="710"/>
      <c r="M241" s="714"/>
      <c r="N241" s="714"/>
      <c r="O241" s="714"/>
      <c r="P241" s="714"/>
      <c r="Q241" s="714"/>
      <c r="R241" s="710"/>
      <c r="S241" s="710"/>
      <c r="T241" s="710"/>
      <c r="U241" s="714"/>
      <c r="V241" s="714"/>
      <c r="W241" s="714"/>
      <c r="X241" s="710"/>
      <c r="Y241" s="710"/>
      <c r="Z241" s="738"/>
      <c r="AA241" s="739">
        <v>6.0</v>
      </c>
      <c r="AB241" s="739">
        <v>12.0</v>
      </c>
      <c r="AC241" s="710"/>
      <c r="AD241" s="710"/>
      <c r="AE241" s="710"/>
      <c r="AF241" s="710"/>
      <c r="AG241" s="710"/>
      <c r="AH241" s="710"/>
      <c r="AI241" s="710"/>
      <c r="AJ241" s="710"/>
      <c r="AK241" s="710"/>
      <c r="AL241" s="710"/>
      <c r="AM241" s="710"/>
      <c r="AN241" s="734"/>
      <c r="AO241" s="7"/>
      <c r="AP241" s="7"/>
      <c r="AQ241" s="7"/>
      <c r="AR241" s="7"/>
      <c r="AS241" s="5"/>
      <c r="AT241" s="734"/>
      <c r="AU241" s="7"/>
      <c r="AV241" s="7"/>
      <c r="AW241" s="7"/>
      <c r="AX241" s="7"/>
      <c r="AY241" s="5"/>
      <c r="AZ241" s="350"/>
      <c r="BA241" s="350"/>
      <c r="BB241" s="350"/>
      <c r="BC241" s="350"/>
      <c r="BD241" s="350"/>
      <c r="BE241" s="350"/>
      <c r="BF241" s="350"/>
      <c r="BG241" s="350"/>
      <c r="BH241" s="350"/>
      <c r="BI241" s="350"/>
      <c r="BJ241" s="350"/>
      <c r="BK241" s="350"/>
      <c r="BL241" s="350"/>
      <c r="BM241" s="350"/>
      <c r="BN241" s="350"/>
      <c r="BO241" s="350"/>
      <c r="BP241" s="350"/>
      <c r="BQ241" s="350"/>
      <c r="BR241" s="350"/>
      <c r="BS241" s="350"/>
      <c r="BT241" s="350"/>
      <c r="BU241" s="350"/>
      <c r="BV241" s="350"/>
      <c r="BW241" s="350"/>
      <c r="BX241" s="350"/>
      <c r="BY241" s="350"/>
    </row>
    <row r="242">
      <c r="A242" s="716" t="s">
        <v>3</v>
      </c>
      <c r="B242" s="7"/>
      <c r="C242" s="7"/>
      <c r="D242" s="7"/>
      <c r="E242" s="7"/>
      <c r="F242" s="5"/>
      <c r="G242" s="732"/>
      <c r="H242" s="732"/>
      <c r="I242" s="740"/>
      <c r="J242" s="710"/>
      <c r="K242" s="708"/>
      <c r="L242" s="710"/>
      <c r="M242" s="732"/>
      <c r="N242" s="714"/>
      <c r="O242" s="714"/>
      <c r="P242" s="732"/>
      <c r="Q242" s="714"/>
      <c r="R242" s="710"/>
      <c r="S242" s="710"/>
      <c r="T242" s="710"/>
      <c r="U242" s="714"/>
      <c r="V242" s="714"/>
      <c r="W242" s="714"/>
      <c r="X242" s="710"/>
      <c r="Y242" s="710"/>
      <c r="Z242" s="710"/>
      <c r="AA242" s="733">
        <v>8.0</v>
      </c>
      <c r="AB242" s="733">
        <v>10.0</v>
      </c>
      <c r="AC242" s="710"/>
      <c r="AD242" s="710"/>
      <c r="AE242" s="710"/>
      <c r="AF242" s="710"/>
      <c r="AG242" s="710"/>
      <c r="AH242" s="710"/>
      <c r="AI242" s="710"/>
      <c r="AJ242" s="710"/>
      <c r="AK242" s="710"/>
      <c r="AL242" s="710"/>
      <c r="AM242" s="710"/>
      <c r="AN242" s="734"/>
      <c r="AO242" s="7"/>
      <c r="AP242" s="7"/>
      <c r="AQ242" s="7"/>
      <c r="AR242" s="7"/>
      <c r="AS242" s="5"/>
      <c r="AT242" s="734"/>
      <c r="AU242" s="7"/>
      <c r="AV242" s="7"/>
      <c r="AW242" s="7"/>
      <c r="AX242" s="7"/>
      <c r="AY242" s="5"/>
      <c r="AZ242" s="350"/>
      <c r="BA242" s="350"/>
      <c r="BB242" s="350"/>
      <c r="BC242" s="350"/>
      <c r="BD242" s="350"/>
      <c r="BE242" s="350"/>
      <c r="BF242" s="350"/>
      <c r="BG242" s="350"/>
      <c r="BH242" s="350"/>
      <c r="BI242" s="350"/>
      <c r="BJ242" s="350"/>
      <c r="BK242" s="350"/>
      <c r="BL242" s="350"/>
      <c r="BM242" s="350"/>
      <c r="BN242" s="350"/>
      <c r="BO242" s="350"/>
      <c r="BP242" s="350"/>
      <c r="BQ242" s="350"/>
      <c r="BR242" s="350"/>
      <c r="BS242" s="350"/>
      <c r="BT242" s="350"/>
      <c r="BU242" s="350"/>
      <c r="BV242" s="350"/>
      <c r="BW242" s="350"/>
      <c r="BX242" s="350"/>
      <c r="BY242" s="350"/>
    </row>
    <row r="243">
      <c r="A243" s="707" t="s">
        <v>971</v>
      </c>
      <c r="B243" s="7"/>
      <c r="C243" s="7"/>
      <c r="D243" s="7"/>
      <c r="E243" s="7"/>
      <c r="F243" s="5"/>
      <c r="G243" s="732"/>
      <c r="H243" s="732"/>
      <c r="I243" s="740"/>
      <c r="J243" s="710"/>
      <c r="K243" s="708"/>
      <c r="L243" s="710"/>
      <c r="M243" s="732"/>
      <c r="N243" s="714"/>
      <c r="O243" s="714"/>
      <c r="P243" s="732"/>
      <c r="Q243" s="732"/>
      <c r="R243" s="710"/>
      <c r="S243" s="708"/>
      <c r="T243" s="710"/>
      <c r="U243" s="732"/>
      <c r="V243" s="714"/>
      <c r="W243" s="714"/>
      <c r="X243" s="713"/>
      <c r="Y243" s="710"/>
      <c r="Z243" s="710"/>
      <c r="AA243" s="733">
        <v>12.0</v>
      </c>
      <c r="AB243" s="733">
        <v>6.0</v>
      </c>
      <c r="AC243" s="710"/>
      <c r="AD243" s="710"/>
      <c r="AE243" s="710"/>
      <c r="AF243" s="710"/>
      <c r="AG243" s="710"/>
      <c r="AH243" s="710"/>
      <c r="AI243" s="710"/>
      <c r="AJ243" s="710"/>
      <c r="AK243" s="710"/>
      <c r="AL243" s="710"/>
      <c r="AM243" s="710"/>
      <c r="AN243" s="734"/>
      <c r="AO243" s="7"/>
      <c r="AP243" s="7"/>
      <c r="AQ243" s="7"/>
      <c r="AR243" s="7"/>
      <c r="AS243" s="5"/>
      <c r="AT243" s="734"/>
      <c r="AU243" s="7"/>
      <c r="AV243" s="7"/>
      <c r="AW243" s="7"/>
      <c r="AX243" s="7"/>
      <c r="AY243" s="5"/>
      <c r="AZ243" s="350"/>
      <c r="BA243" s="350"/>
      <c r="BB243" s="350"/>
      <c r="BC243" s="350"/>
      <c r="BD243" s="350"/>
      <c r="BE243" s="350"/>
      <c r="BF243" s="350"/>
      <c r="BG243" s="350"/>
      <c r="BH243" s="350"/>
      <c r="BI243" s="350"/>
      <c r="BJ243" s="350"/>
      <c r="BK243" s="350"/>
      <c r="BL243" s="350"/>
      <c r="BM243" s="350"/>
      <c r="BN243" s="350"/>
      <c r="BO243" s="350"/>
      <c r="BP243" s="350"/>
      <c r="BQ243" s="350"/>
      <c r="BR243" s="350"/>
      <c r="BS243" s="350"/>
      <c r="BT243" s="350"/>
      <c r="BU243" s="350"/>
      <c r="BV243" s="350"/>
      <c r="BW243" s="350"/>
      <c r="BX243" s="350"/>
      <c r="BY243" s="350"/>
    </row>
    <row r="244">
      <c r="A244" s="707" t="s">
        <v>972</v>
      </c>
      <c r="B244" s="7"/>
      <c r="C244" s="7"/>
      <c r="D244" s="7"/>
      <c r="E244" s="7"/>
      <c r="F244" s="5"/>
      <c r="G244" s="732"/>
      <c r="H244" s="732"/>
      <c r="I244" s="740"/>
      <c r="J244" s="710"/>
      <c r="K244" s="708"/>
      <c r="L244" s="710"/>
      <c r="M244" s="732"/>
      <c r="N244" s="714"/>
      <c r="O244" s="714"/>
      <c r="P244" s="732"/>
      <c r="Q244" s="732"/>
      <c r="R244" s="710"/>
      <c r="S244" s="710"/>
      <c r="T244" s="710"/>
      <c r="U244" s="714"/>
      <c r="V244" s="714"/>
      <c r="W244" s="714"/>
      <c r="X244" s="710"/>
      <c r="Y244" s="710"/>
      <c r="Z244" s="710"/>
      <c r="AA244" s="733">
        <v>10.0</v>
      </c>
      <c r="AB244" s="733">
        <v>8.0</v>
      </c>
      <c r="AC244" s="710"/>
      <c r="AD244" s="710"/>
      <c r="AE244" s="710"/>
      <c r="AF244" s="710"/>
      <c r="AG244" s="710"/>
      <c r="AH244" s="710"/>
      <c r="AI244" s="710"/>
      <c r="AJ244" s="710"/>
      <c r="AK244" s="710"/>
      <c r="AL244" s="710"/>
      <c r="AM244" s="710"/>
      <c r="AN244" s="734"/>
      <c r="AO244" s="7"/>
      <c r="AP244" s="7"/>
      <c r="AQ244" s="7"/>
      <c r="AR244" s="7"/>
      <c r="AS244" s="5"/>
      <c r="AT244" s="734"/>
      <c r="AU244" s="7"/>
      <c r="AV244" s="7"/>
      <c r="AW244" s="7"/>
      <c r="AX244" s="7"/>
      <c r="AY244" s="5"/>
      <c r="AZ244" s="350"/>
      <c r="BA244" s="350"/>
      <c r="BB244" s="350"/>
      <c r="BC244" s="350"/>
      <c r="BD244" s="350"/>
      <c r="BE244" s="350"/>
      <c r="BF244" s="350"/>
      <c r="BG244" s="350"/>
      <c r="BH244" s="350"/>
      <c r="BI244" s="350"/>
      <c r="BJ244" s="350"/>
      <c r="BK244" s="350"/>
      <c r="BL244" s="350"/>
      <c r="BM244" s="350"/>
      <c r="BN244" s="350"/>
      <c r="BO244" s="350"/>
      <c r="BP244" s="350"/>
      <c r="BQ244" s="350"/>
      <c r="BR244" s="350"/>
      <c r="BS244" s="350"/>
      <c r="BT244" s="350"/>
      <c r="BU244" s="350"/>
      <c r="BV244" s="350"/>
      <c r="BW244" s="350"/>
      <c r="BX244" s="350"/>
      <c r="BY244" s="350"/>
    </row>
    <row r="245">
      <c r="A245" s="716" t="s">
        <v>973</v>
      </c>
      <c r="B245" s="7"/>
      <c r="C245" s="7"/>
      <c r="D245" s="7"/>
      <c r="E245" s="7"/>
      <c r="F245" s="5"/>
      <c r="G245" s="732"/>
      <c r="H245" s="732"/>
      <c r="I245" s="714"/>
      <c r="J245" s="710"/>
      <c r="K245" s="710"/>
      <c r="L245" s="708"/>
      <c r="M245" s="732"/>
      <c r="N245" s="714"/>
      <c r="O245" s="714"/>
      <c r="P245" s="732"/>
      <c r="Q245" s="732"/>
      <c r="R245" s="710"/>
      <c r="S245" s="710"/>
      <c r="T245" s="710"/>
      <c r="U245" s="714"/>
      <c r="V245" s="714"/>
      <c r="W245" s="714"/>
      <c r="X245" s="713"/>
      <c r="Y245" s="710"/>
      <c r="Z245" s="713"/>
      <c r="AA245" s="733">
        <v>8.0</v>
      </c>
      <c r="AB245" s="733">
        <v>10.0</v>
      </c>
      <c r="AC245" s="710"/>
      <c r="AD245" s="710"/>
      <c r="AE245" s="710"/>
      <c r="AF245" s="710"/>
      <c r="AG245" s="710"/>
      <c r="AH245" s="710"/>
      <c r="AI245" s="710"/>
      <c r="AJ245" s="710"/>
      <c r="AK245" s="710"/>
      <c r="AL245" s="710"/>
      <c r="AM245" s="710"/>
      <c r="AN245" s="734"/>
      <c r="AO245" s="7"/>
      <c r="AP245" s="7"/>
      <c r="AQ245" s="7"/>
      <c r="AR245" s="7"/>
      <c r="AS245" s="5"/>
      <c r="AT245" s="734"/>
      <c r="AU245" s="7"/>
      <c r="AV245" s="7"/>
      <c r="AW245" s="7"/>
      <c r="AX245" s="7"/>
      <c r="AY245" s="5"/>
      <c r="AZ245" s="350"/>
      <c r="BA245" s="350"/>
      <c r="BB245" s="350"/>
      <c r="BC245" s="350"/>
      <c r="BD245" s="350"/>
      <c r="BE245" s="350"/>
      <c r="BF245" s="350"/>
      <c r="BG245" s="350"/>
      <c r="BH245" s="350"/>
      <c r="BI245" s="350"/>
      <c r="BJ245" s="350"/>
      <c r="BK245" s="350"/>
      <c r="BL245" s="350"/>
      <c r="BM245" s="350"/>
      <c r="BN245" s="350"/>
      <c r="BO245" s="350"/>
      <c r="BP245" s="350"/>
      <c r="BQ245" s="350"/>
      <c r="BR245" s="350"/>
      <c r="BS245" s="350"/>
      <c r="BT245" s="350"/>
      <c r="BU245" s="350"/>
      <c r="BV245" s="350"/>
      <c r="BW245" s="350"/>
      <c r="BX245" s="350"/>
      <c r="BY245" s="350"/>
    </row>
    <row r="246">
      <c r="A246" s="716" t="s">
        <v>974</v>
      </c>
      <c r="B246" s="7"/>
      <c r="C246" s="7"/>
      <c r="D246" s="7"/>
      <c r="E246" s="7"/>
      <c r="F246" s="5"/>
      <c r="G246" s="732"/>
      <c r="H246" s="732"/>
      <c r="I246" s="741"/>
      <c r="J246" s="710"/>
      <c r="K246" s="710"/>
      <c r="L246" s="710"/>
      <c r="M246" s="732"/>
      <c r="N246" s="714"/>
      <c r="O246" s="714"/>
      <c r="P246" s="732"/>
      <c r="Q246" s="714"/>
      <c r="R246" s="710"/>
      <c r="S246" s="710"/>
      <c r="T246" s="710"/>
      <c r="U246" s="714"/>
      <c r="V246" s="714"/>
      <c r="W246" s="714"/>
      <c r="X246" s="710"/>
      <c r="Y246" s="710"/>
      <c r="Z246" s="713"/>
      <c r="AA246" s="733">
        <v>10.0</v>
      </c>
      <c r="AB246" s="733">
        <v>8.0</v>
      </c>
      <c r="AC246" s="710"/>
      <c r="AD246" s="710"/>
      <c r="AE246" s="710"/>
      <c r="AF246" s="710"/>
      <c r="AG246" s="710"/>
      <c r="AH246" s="710"/>
      <c r="AI246" s="710"/>
      <c r="AJ246" s="710"/>
      <c r="AK246" s="710"/>
      <c r="AL246" s="710"/>
      <c r="AM246" s="710"/>
      <c r="AN246" s="734"/>
      <c r="AO246" s="7"/>
      <c r="AP246" s="7"/>
      <c r="AQ246" s="7"/>
      <c r="AR246" s="7"/>
      <c r="AS246" s="5"/>
      <c r="AT246" s="734"/>
      <c r="AU246" s="7"/>
      <c r="AV246" s="7"/>
      <c r="AW246" s="7"/>
      <c r="AX246" s="7"/>
      <c r="AY246" s="5"/>
      <c r="AZ246" s="350"/>
      <c r="BA246" s="350"/>
      <c r="BB246" s="350"/>
      <c r="BC246" s="350"/>
      <c r="BD246" s="350"/>
      <c r="BE246" s="350"/>
      <c r="BF246" s="350"/>
      <c r="BG246" s="350"/>
      <c r="BH246" s="350"/>
      <c r="BI246" s="350"/>
      <c r="BJ246" s="350"/>
      <c r="BK246" s="350"/>
      <c r="BL246" s="350"/>
      <c r="BM246" s="350"/>
      <c r="BN246" s="350"/>
      <c r="BO246" s="350"/>
      <c r="BP246" s="350"/>
      <c r="BQ246" s="350"/>
      <c r="BR246" s="350"/>
      <c r="BS246" s="350"/>
      <c r="BT246" s="350"/>
      <c r="BU246" s="350"/>
      <c r="BV246" s="350"/>
      <c r="BW246" s="350"/>
      <c r="BX246" s="350"/>
      <c r="BY246" s="350"/>
    </row>
    <row r="247">
      <c r="A247" s="716" t="s">
        <v>975</v>
      </c>
      <c r="B247" s="7"/>
      <c r="C247" s="7"/>
      <c r="D247" s="7"/>
      <c r="E247" s="7"/>
      <c r="F247" s="5"/>
      <c r="G247" s="732"/>
      <c r="H247" s="732"/>
      <c r="I247" s="714"/>
      <c r="J247" s="710"/>
      <c r="K247" s="708"/>
      <c r="L247" s="710"/>
      <c r="M247" s="732"/>
      <c r="N247" s="714"/>
      <c r="O247" s="714"/>
      <c r="P247" s="732"/>
      <c r="Q247" s="714"/>
      <c r="R247" s="710"/>
      <c r="S247" s="708"/>
      <c r="T247" s="710"/>
      <c r="U247" s="714"/>
      <c r="V247" s="714"/>
      <c r="W247" s="714"/>
      <c r="X247" s="710"/>
      <c r="Y247" s="710"/>
      <c r="Z247" s="710"/>
      <c r="AA247" s="733">
        <v>8.0</v>
      </c>
      <c r="AB247" s="733">
        <v>10.0</v>
      </c>
      <c r="AC247" s="710"/>
      <c r="AD247" s="710"/>
      <c r="AE247" s="710"/>
      <c r="AF247" s="710"/>
      <c r="AG247" s="710"/>
      <c r="AH247" s="710"/>
      <c r="AI247" s="710"/>
      <c r="AJ247" s="710"/>
      <c r="AK247" s="710"/>
      <c r="AL247" s="710"/>
      <c r="AM247" s="710"/>
      <c r="AN247" s="734"/>
      <c r="AO247" s="7"/>
      <c r="AP247" s="7"/>
      <c r="AQ247" s="7"/>
      <c r="AR247" s="7"/>
      <c r="AS247" s="5"/>
      <c r="AT247" s="734"/>
      <c r="AU247" s="7"/>
      <c r="AV247" s="7"/>
      <c r="AW247" s="7"/>
      <c r="AX247" s="7"/>
      <c r="AY247" s="5"/>
      <c r="AZ247" s="350"/>
      <c r="BA247" s="350"/>
      <c r="BB247" s="350"/>
      <c r="BC247" s="350"/>
      <c r="BD247" s="350"/>
      <c r="BE247" s="350"/>
      <c r="BF247" s="350"/>
      <c r="BG247" s="350"/>
      <c r="BH247" s="350"/>
      <c r="BI247" s="350"/>
      <c r="BJ247" s="350"/>
      <c r="BK247" s="350"/>
      <c r="BL247" s="350"/>
      <c r="BM247" s="350"/>
      <c r="BN247" s="350"/>
      <c r="BO247" s="350"/>
      <c r="BP247" s="350"/>
      <c r="BQ247" s="350"/>
      <c r="BR247" s="350"/>
      <c r="BS247" s="350"/>
      <c r="BT247" s="350"/>
      <c r="BU247" s="350"/>
      <c r="BV247" s="350"/>
      <c r="BW247" s="350"/>
      <c r="BX247" s="350"/>
      <c r="BY247" s="350"/>
    </row>
    <row r="248">
      <c r="A248" s="716" t="s">
        <v>976</v>
      </c>
      <c r="B248" s="7"/>
      <c r="C248" s="7"/>
      <c r="D248" s="7"/>
      <c r="E248" s="7"/>
      <c r="F248" s="5"/>
      <c r="G248" s="732"/>
      <c r="H248" s="732"/>
      <c r="I248" s="732"/>
      <c r="J248" s="732"/>
      <c r="K248" s="732"/>
      <c r="L248" s="732"/>
      <c r="M248" s="732"/>
      <c r="N248" s="732"/>
      <c r="O248" s="732"/>
      <c r="P248" s="732"/>
      <c r="Q248" s="732"/>
      <c r="R248" s="732"/>
      <c r="S248" s="732"/>
      <c r="T248" s="732"/>
      <c r="U248" s="732"/>
      <c r="V248" s="732"/>
      <c r="W248" s="732"/>
      <c r="X248" s="732"/>
      <c r="Y248" s="732"/>
      <c r="Z248" s="732"/>
      <c r="AA248" s="742">
        <v>4.0</v>
      </c>
      <c r="AB248" s="733">
        <v>2.0</v>
      </c>
      <c r="AC248" s="710"/>
      <c r="AD248" s="710"/>
      <c r="AE248" s="710"/>
      <c r="AF248" s="710"/>
      <c r="AG248" s="710"/>
      <c r="AH248" s="710"/>
      <c r="AI248" s="710"/>
      <c r="AJ248" s="710"/>
      <c r="AK248" s="710"/>
      <c r="AL248" s="710"/>
      <c r="AM248" s="710"/>
      <c r="AN248" s="734"/>
      <c r="AO248" s="7"/>
      <c r="AP248" s="7"/>
      <c r="AQ248" s="7"/>
      <c r="AR248" s="7"/>
      <c r="AS248" s="5"/>
      <c r="AT248" s="734"/>
      <c r="AU248" s="7"/>
      <c r="AV248" s="7"/>
      <c r="AW248" s="7"/>
      <c r="AX248" s="7"/>
      <c r="AY248" s="5"/>
      <c r="AZ248" s="350"/>
      <c r="BA248" s="350"/>
      <c r="BB248" s="350"/>
      <c r="BC248" s="646"/>
      <c r="BD248" s="646"/>
      <c r="BE248" s="646"/>
      <c r="BF248" s="646"/>
      <c r="BG248" s="646"/>
      <c r="BH248" s="646"/>
      <c r="BI248" s="646"/>
      <c r="BJ248" s="646"/>
      <c r="BK248" s="646"/>
      <c r="BL248" s="646"/>
      <c r="BM248" s="646"/>
      <c r="BN248" s="646"/>
      <c r="BO248" s="646"/>
      <c r="BP248" s="646"/>
      <c r="BQ248" s="646"/>
      <c r="BR248" s="646"/>
      <c r="BS248" s="646"/>
      <c r="BT248" s="646"/>
      <c r="BU248" s="646"/>
      <c r="BV248" s="646"/>
      <c r="BW248" s="646"/>
      <c r="BX248" s="646"/>
      <c r="BY248" s="646"/>
    </row>
    <row r="249">
      <c r="A249" s="493"/>
      <c r="B249" s="7"/>
      <c r="C249" s="7"/>
      <c r="D249" s="7"/>
      <c r="E249" s="7"/>
      <c r="F249" s="5"/>
      <c r="G249" s="710"/>
      <c r="H249" s="710"/>
      <c r="I249" s="710"/>
      <c r="J249" s="710"/>
      <c r="K249" s="710"/>
      <c r="L249" s="710"/>
      <c r="M249" s="710"/>
      <c r="N249" s="710"/>
      <c r="O249" s="710"/>
      <c r="P249" s="714"/>
      <c r="Q249" s="714"/>
      <c r="R249" s="714"/>
      <c r="S249" s="710"/>
      <c r="T249" s="710"/>
      <c r="U249" s="710"/>
      <c r="V249" s="743"/>
      <c r="W249" s="743"/>
      <c r="X249" s="743"/>
      <c r="Y249" s="743"/>
      <c r="Z249" s="743"/>
      <c r="AA249" s="743"/>
      <c r="AB249" s="743"/>
      <c r="AC249" s="743"/>
      <c r="AD249" s="743"/>
      <c r="AE249" s="743"/>
      <c r="AF249" s="743"/>
      <c r="AG249" s="743"/>
      <c r="AH249" s="743"/>
      <c r="AI249" s="743"/>
      <c r="AJ249" s="743"/>
      <c r="AK249" s="743"/>
      <c r="AL249" s="743"/>
      <c r="AM249" s="743"/>
      <c r="AN249" s="493"/>
      <c r="AO249" s="7"/>
      <c r="AP249" s="7"/>
      <c r="AQ249" s="7"/>
      <c r="AR249" s="7"/>
      <c r="AS249" s="5"/>
      <c r="AT249" s="493"/>
      <c r="AU249" s="7"/>
      <c r="AV249" s="7"/>
      <c r="AW249" s="7"/>
      <c r="AX249" s="7"/>
      <c r="AY249" s="5"/>
      <c r="AZ249" s="350"/>
      <c r="BA249" s="350"/>
      <c r="BB249" s="350"/>
      <c r="BC249" s="646"/>
      <c r="BD249" s="646"/>
      <c r="BE249" s="646"/>
      <c r="BF249" s="646"/>
      <c r="BG249" s="646"/>
      <c r="BH249" s="646"/>
      <c r="BI249" s="646"/>
      <c r="BJ249" s="646"/>
      <c r="BK249" s="646"/>
      <c r="BL249" s="646"/>
      <c r="BM249" s="646"/>
      <c r="BN249" s="646"/>
      <c r="BO249" s="646"/>
      <c r="BP249" s="646"/>
      <c r="BQ249" s="646"/>
      <c r="BR249" s="646"/>
      <c r="BS249" s="646"/>
      <c r="BT249" s="646"/>
      <c r="BU249" s="646"/>
      <c r="BV249" s="646"/>
      <c r="BW249" s="646"/>
      <c r="BX249" s="646"/>
      <c r="BY249" s="646"/>
    </row>
    <row r="250">
      <c r="A250" s="677"/>
      <c r="U250" s="655"/>
      <c r="V250" s="358"/>
      <c r="AH250" s="656"/>
      <c r="AI250" s="677"/>
      <c r="BC250" s="646"/>
      <c r="BD250" s="646"/>
      <c r="BE250" s="646"/>
      <c r="BF250" s="646"/>
      <c r="BG250" s="646"/>
      <c r="BH250" s="646"/>
      <c r="BI250" s="646"/>
      <c r="BJ250" s="646"/>
      <c r="BK250" s="646"/>
      <c r="BL250" s="646"/>
      <c r="BM250" s="646"/>
      <c r="BN250" s="646"/>
      <c r="BO250" s="646"/>
      <c r="BP250" s="646"/>
      <c r="BQ250" s="646"/>
      <c r="BR250" s="646"/>
      <c r="BS250" s="646"/>
      <c r="BT250" s="646"/>
      <c r="BU250" s="646"/>
      <c r="BV250" s="646"/>
      <c r="BW250" s="646"/>
      <c r="BX250" s="646"/>
      <c r="BY250" s="646"/>
    </row>
    <row r="251">
      <c r="A251" s="701" t="s">
        <v>977</v>
      </c>
      <c r="B251" s="7"/>
      <c r="C251" s="7"/>
      <c r="D251" s="7"/>
      <c r="E251" s="7"/>
      <c r="F251" s="5"/>
      <c r="G251" s="701" t="s">
        <v>978</v>
      </c>
      <c r="H251" s="7"/>
      <c r="I251" s="7"/>
      <c r="J251" s="7"/>
      <c r="K251" s="7"/>
      <c r="L251" s="7"/>
      <c r="M251" s="7"/>
      <c r="N251" s="7"/>
      <c r="O251" s="5"/>
      <c r="P251" s="702">
        <v>1.0</v>
      </c>
      <c r="Q251" s="702">
        <v>2.0</v>
      </c>
      <c r="R251" s="702">
        <v>3.0</v>
      </c>
      <c r="S251" s="702">
        <v>4.0</v>
      </c>
      <c r="T251" s="702">
        <v>5.0</v>
      </c>
      <c r="U251" s="702">
        <v>6.0</v>
      </c>
      <c r="V251" s="702">
        <v>7.0</v>
      </c>
      <c r="W251" s="702">
        <v>8.0</v>
      </c>
      <c r="X251" s="702">
        <v>9.0</v>
      </c>
      <c r="Y251" s="702">
        <v>10.0</v>
      </c>
      <c r="Z251" s="702">
        <v>11.0</v>
      </c>
      <c r="AA251" s="702">
        <v>12.0</v>
      </c>
      <c r="AB251" s="702">
        <v>13.0</v>
      </c>
      <c r="AC251" s="702">
        <v>14.0</v>
      </c>
      <c r="AD251" s="702">
        <v>15.0</v>
      </c>
      <c r="AE251" s="702">
        <v>16.0</v>
      </c>
      <c r="AF251" s="702">
        <v>17.0</v>
      </c>
      <c r="AG251" s="702">
        <v>18.0</v>
      </c>
      <c r="AH251" s="702">
        <v>19.0</v>
      </c>
      <c r="AI251" s="702">
        <v>20.0</v>
      </c>
      <c r="AJ251" s="744"/>
      <c r="AP251" s="731" t="s">
        <v>962</v>
      </c>
      <c r="AQ251" s="731" t="s">
        <v>963</v>
      </c>
      <c r="AR251" s="350"/>
      <c r="AS251" s="350"/>
      <c r="AT251" s="350"/>
      <c r="AU251" s="350"/>
      <c r="AV251" s="350"/>
      <c r="AW251" s="350"/>
      <c r="AX251" s="350"/>
      <c r="AY251" s="350"/>
      <c r="AZ251" s="350"/>
      <c r="BA251" s="350"/>
      <c r="BB251" s="350"/>
      <c r="BC251" s="350"/>
      <c r="BD251" s="350"/>
      <c r="BE251" s="350"/>
      <c r="BF251" s="350"/>
      <c r="BG251" s="350"/>
      <c r="BH251" s="350"/>
      <c r="BI251" s="350"/>
      <c r="BJ251" s="350"/>
      <c r="BK251" s="350"/>
      <c r="BL251" s="646"/>
      <c r="BM251" s="646"/>
      <c r="BN251" s="646"/>
      <c r="BO251" s="646"/>
      <c r="BP251" s="646"/>
      <c r="BQ251" s="646"/>
      <c r="BR251" s="646"/>
      <c r="BS251" s="646"/>
      <c r="BT251" s="646"/>
      <c r="BU251" s="646"/>
      <c r="BV251" s="646"/>
      <c r="BW251" s="646"/>
      <c r="BX251" s="646"/>
      <c r="BY251" s="646"/>
    </row>
    <row r="252">
      <c r="A252" s="707" t="s">
        <v>966</v>
      </c>
      <c r="B252" s="7"/>
      <c r="C252" s="7"/>
      <c r="D252" s="7"/>
      <c r="E252" s="7"/>
      <c r="F252" s="5"/>
      <c r="G252" s="716" t="s">
        <v>979</v>
      </c>
      <c r="H252" s="7"/>
      <c r="I252" s="7"/>
      <c r="J252" s="7"/>
      <c r="K252" s="7"/>
      <c r="L252" s="7"/>
      <c r="M252" s="7"/>
      <c r="N252" s="7"/>
      <c r="O252" s="5"/>
      <c r="P252" s="714"/>
      <c r="Q252" s="732"/>
      <c r="R252" s="710"/>
      <c r="S252" s="710"/>
      <c r="T252" s="714"/>
      <c r="U252" s="708"/>
      <c r="V252" s="710"/>
      <c r="W252" s="714"/>
      <c r="X252" s="710"/>
      <c r="Y252" s="708"/>
      <c r="Z252" s="714"/>
      <c r="AA252" s="710"/>
      <c r="AB252" s="710"/>
      <c r="AC252" s="708"/>
      <c r="AD252" s="710"/>
      <c r="AE252" s="714"/>
      <c r="AF252" s="710"/>
      <c r="AG252" s="710"/>
      <c r="AH252" s="710"/>
      <c r="AI252" s="710"/>
      <c r="AJ252" s="734"/>
      <c r="AK252" s="7"/>
      <c r="AL252" s="7"/>
      <c r="AM252" s="7"/>
      <c r="AN252" s="7"/>
      <c r="AO252" s="5"/>
      <c r="AP252" s="733">
        <v>6.0</v>
      </c>
      <c r="AQ252" s="733">
        <v>12.0</v>
      </c>
      <c r="AR252" s="350"/>
      <c r="AS252" s="350"/>
      <c r="AT252" s="350"/>
      <c r="AU252" s="350"/>
      <c r="AV252" s="350"/>
      <c r="AW252" s="350"/>
      <c r="AX252" s="350"/>
      <c r="AY252" s="350"/>
      <c r="AZ252" s="350"/>
      <c r="BA252" s="350"/>
      <c r="BB252" s="350"/>
      <c r="BC252" s="350"/>
      <c r="BD252" s="350"/>
      <c r="BE252" s="350"/>
      <c r="BF252" s="350"/>
      <c r="BG252" s="350"/>
      <c r="BH252" s="350"/>
      <c r="BI252" s="350"/>
      <c r="BJ252" s="350"/>
      <c r="BK252" s="350"/>
      <c r="BL252" s="646"/>
      <c r="BM252" s="646"/>
      <c r="BN252" s="646"/>
      <c r="BO252" s="646"/>
      <c r="BP252" s="646"/>
      <c r="BQ252" s="646"/>
      <c r="BR252" s="646"/>
      <c r="BS252" s="646"/>
      <c r="BT252" s="646"/>
      <c r="BU252" s="646"/>
      <c r="BV252" s="646"/>
      <c r="BW252" s="646"/>
      <c r="BX252" s="646"/>
      <c r="BY252" s="646"/>
    </row>
    <row r="253">
      <c r="A253" s="707" t="s">
        <v>966</v>
      </c>
      <c r="B253" s="7"/>
      <c r="C253" s="7"/>
      <c r="D253" s="7"/>
      <c r="E253" s="7"/>
      <c r="F253" s="5"/>
      <c r="G253" s="716" t="s">
        <v>980</v>
      </c>
      <c r="H253" s="7"/>
      <c r="I253" s="7"/>
      <c r="J253" s="7"/>
      <c r="K253" s="7"/>
      <c r="L253" s="7"/>
      <c r="M253" s="7"/>
      <c r="N253" s="7"/>
      <c r="O253" s="5"/>
      <c r="P253" s="714"/>
      <c r="Q253" s="732"/>
      <c r="R253" s="710"/>
      <c r="S253" s="710"/>
      <c r="T253" s="714"/>
      <c r="U253" s="708"/>
      <c r="V253" s="714"/>
      <c r="W253" s="714"/>
      <c r="X253" s="714"/>
      <c r="Y253" s="713"/>
      <c r="Z253" s="714"/>
      <c r="AA253" s="710"/>
      <c r="AB253" s="710"/>
      <c r="AC253" s="713"/>
      <c r="AD253" s="714"/>
      <c r="AE253" s="714"/>
      <c r="AF253" s="714"/>
      <c r="AG253" s="710"/>
      <c r="AH253" s="710"/>
      <c r="AI253" s="710"/>
      <c r="AJ253" s="734"/>
      <c r="AK253" s="7"/>
      <c r="AL253" s="7"/>
      <c r="AM253" s="7"/>
      <c r="AN253" s="7"/>
      <c r="AO253" s="5"/>
      <c r="AP253" s="733">
        <v>6.0</v>
      </c>
      <c r="AQ253" s="733">
        <v>12.0</v>
      </c>
      <c r="AR253" s="350"/>
      <c r="AS253" s="350"/>
      <c r="AT253" s="350"/>
      <c r="AU253" s="350"/>
      <c r="AV253" s="350"/>
      <c r="AW253" s="350"/>
      <c r="AX253" s="350"/>
      <c r="AY253" s="350"/>
      <c r="AZ253" s="350"/>
      <c r="BA253" s="350"/>
      <c r="BB253" s="350"/>
      <c r="BC253" s="350"/>
      <c r="BD253" s="350"/>
      <c r="BE253" s="350"/>
      <c r="BF253" s="350"/>
      <c r="BG253" s="350"/>
      <c r="BH253" s="350"/>
      <c r="BI253" s="350"/>
      <c r="BJ253" s="350"/>
      <c r="BK253" s="350"/>
      <c r="BL253" s="646"/>
      <c r="BM253" s="646"/>
      <c r="BN253" s="646"/>
      <c r="BO253" s="646"/>
      <c r="BP253" s="646"/>
      <c r="BQ253" s="646"/>
      <c r="BR253" s="646"/>
      <c r="BS253" s="646"/>
      <c r="BT253" s="646"/>
      <c r="BU253" s="646"/>
      <c r="BV253" s="646"/>
      <c r="BW253" s="646"/>
      <c r="BX253" s="646"/>
      <c r="BY253" s="646"/>
    </row>
    <row r="254">
      <c r="A254" s="707" t="s">
        <v>966</v>
      </c>
      <c r="B254" s="7"/>
      <c r="C254" s="7"/>
      <c r="D254" s="7"/>
      <c r="E254" s="7"/>
      <c r="F254" s="5"/>
      <c r="G254" s="716" t="s">
        <v>981</v>
      </c>
      <c r="H254" s="7"/>
      <c r="I254" s="7"/>
      <c r="J254" s="7"/>
      <c r="K254" s="7"/>
      <c r="L254" s="7"/>
      <c r="M254" s="7"/>
      <c r="N254" s="7"/>
      <c r="O254" s="5"/>
      <c r="P254" s="714"/>
      <c r="Q254" s="732"/>
      <c r="R254" s="710"/>
      <c r="S254" s="710"/>
      <c r="T254" s="714"/>
      <c r="U254" s="713"/>
      <c r="V254" s="714"/>
      <c r="W254" s="714"/>
      <c r="X254" s="714"/>
      <c r="Y254" s="713"/>
      <c r="Z254" s="714"/>
      <c r="AA254" s="710"/>
      <c r="AB254" s="710"/>
      <c r="AC254" s="713"/>
      <c r="AD254" s="714"/>
      <c r="AE254" s="714"/>
      <c r="AF254" s="714"/>
      <c r="AG254" s="710"/>
      <c r="AH254" s="710"/>
      <c r="AI254" s="710"/>
      <c r="AJ254" s="734"/>
      <c r="AK254" s="7"/>
      <c r="AL254" s="7"/>
      <c r="AM254" s="7"/>
      <c r="AN254" s="7"/>
      <c r="AO254" s="5"/>
      <c r="AP254" s="733">
        <v>6.0</v>
      </c>
      <c r="AQ254" s="733">
        <v>12.0</v>
      </c>
      <c r="AR254" s="350"/>
      <c r="AS254" s="350"/>
      <c r="AT254" s="350"/>
      <c r="AU254" s="350"/>
      <c r="AV254" s="350"/>
      <c r="AW254" s="350"/>
      <c r="AX254" s="350"/>
      <c r="AY254" s="350"/>
      <c r="AZ254" s="350"/>
      <c r="BA254" s="350"/>
      <c r="BB254" s="350"/>
      <c r="BC254" s="350"/>
      <c r="BD254" s="350"/>
      <c r="BE254" s="350"/>
      <c r="BF254" s="350"/>
      <c r="BG254" s="350"/>
      <c r="BH254" s="350"/>
      <c r="BI254" s="350"/>
      <c r="BJ254" s="350"/>
      <c r="BK254" s="350"/>
      <c r="BL254" s="646"/>
      <c r="BM254" s="646"/>
      <c r="BN254" s="646"/>
      <c r="BO254" s="646"/>
      <c r="BP254" s="646"/>
      <c r="BQ254" s="646"/>
      <c r="BR254" s="646"/>
      <c r="BS254" s="646"/>
      <c r="BT254" s="646"/>
      <c r="BU254" s="646"/>
      <c r="BV254" s="646"/>
      <c r="BW254" s="646"/>
      <c r="BX254" s="646"/>
      <c r="BY254" s="646"/>
    </row>
    <row r="255">
      <c r="A255" s="707" t="s">
        <v>966</v>
      </c>
      <c r="B255" s="7"/>
      <c r="C255" s="7"/>
      <c r="D255" s="7"/>
      <c r="E255" s="7"/>
      <c r="F255" s="5"/>
      <c r="G255" s="716" t="s">
        <v>982</v>
      </c>
      <c r="H255" s="7"/>
      <c r="I255" s="7"/>
      <c r="J255" s="7"/>
      <c r="K255" s="7"/>
      <c r="L255" s="7"/>
      <c r="M255" s="7"/>
      <c r="N255" s="7"/>
      <c r="O255" s="5"/>
      <c r="P255" s="714"/>
      <c r="Q255" s="732"/>
      <c r="R255" s="710"/>
      <c r="S255" s="710"/>
      <c r="T255" s="714"/>
      <c r="U255" s="708"/>
      <c r="V255" s="714"/>
      <c r="W255" s="714"/>
      <c r="X255" s="714"/>
      <c r="Y255" s="732"/>
      <c r="Z255" s="714"/>
      <c r="AA255" s="710"/>
      <c r="AB255" s="710"/>
      <c r="AC255" s="708"/>
      <c r="AD255" s="714"/>
      <c r="AE255" s="714"/>
      <c r="AF255" s="714"/>
      <c r="AG255" s="710"/>
      <c r="AH255" s="710"/>
      <c r="AI255" s="710"/>
      <c r="AJ255" s="734"/>
      <c r="AK255" s="7"/>
      <c r="AL255" s="7"/>
      <c r="AM255" s="7"/>
      <c r="AN255" s="7"/>
      <c r="AO255" s="5"/>
      <c r="AP255" s="733">
        <v>6.0</v>
      </c>
      <c r="AQ255" s="733">
        <v>12.0</v>
      </c>
      <c r="AR255" s="350"/>
      <c r="AS255" s="350"/>
      <c r="AT255" s="350"/>
      <c r="AU255" s="350"/>
      <c r="AV255" s="350"/>
      <c r="AW255" s="350"/>
      <c r="AX255" s="350"/>
      <c r="AY255" s="350"/>
      <c r="AZ255" s="350"/>
      <c r="BA255" s="350"/>
      <c r="BB255" s="350"/>
      <c r="BC255" s="350"/>
      <c r="BD255" s="350"/>
      <c r="BE255" s="350"/>
      <c r="BF255" s="350"/>
      <c r="BG255" s="350"/>
      <c r="BH255" s="350"/>
      <c r="BI255" s="350"/>
      <c r="BJ255" s="350"/>
      <c r="BK255" s="350"/>
      <c r="BL255" s="646"/>
      <c r="BM255" s="646"/>
      <c r="BN255" s="646"/>
      <c r="BO255" s="646"/>
      <c r="BP255" s="646"/>
      <c r="BQ255" s="646"/>
      <c r="BR255" s="646"/>
      <c r="BS255" s="646"/>
      <c r="BT255" s="646"/>
      <c r="BU255" s="646"/>
      <c r="BV255" s="646"/>
      <c r="BW255" s="646"/>
      <c r="BX255" s="646"/>
      <c r="BY255" s="646"/>
    </row>
    <row r="256">
      <c r="A256" s="707" t="s">
        <v>966</v>
      </c>
      <c r="B256" s="7"/>
      <c r="C256" s="7"/>
      <c r="D256" s="7"/>
      <c r="E256" s="7"/>
      <c r="F256" s="5"/>
      <c r="G256" s="716" t="s">
        <v>983</v>
      </c>
      <c r="H256" s="7"/>
      <c r="I256" s="7"/>
      <c r="J256" s="7"/>
      <c r="K256" s="7"/>
      <c r="L256" s="7"/>
      <c r="M256" s="7"/>
      <c r="N256" s="7"/>
      <c r="O256" s="5"/>
      <c r="P256" s="714"/>
      <c r="Q256" s="732"/>
      <c r="R256" s="710"/>
      <c r="S256" s="710"/>
      <c r="T256" s="714"/>
      <c r="U256" s="708"/>
      <c r="V256" s="714"/>
      <c r="W256" s="714"/>
      <c r="X256" s="714"/>
      <c r="Y256" s="732"/>
      <c r="Z256" s="714"/>
      <c r="AA256" s="710"/>
      <c r="AB256" s="710"/>
      <c r="AC256" s="708"/>
      <c r="AD256" s="714"/>
      <c r="AE256" s="714"/>
      <c r="AF256" s="714"/>
      <c r="AG256" s="710"/>
      <c r="AH256" s="710"/>
      <c r="AI256" s="710"/>
      <c r="AJ256" s="734"/>
      <c r="AK256" s="7"/>
      <c r="AL256" s="7"/>
      <c r="AM256" s="7"/>
      <c r="AN256" s="7"/>
      <c r="AO256" s="5"/>
      <c r="AP256" s="733">
        <v>6.0</v>
      </c>
      <c r="AQ256" s="733">
        <v>12.0</v>
      </c>
      <c r="AR256" s="350"/>
      <c r="AS256" s="350"/>
      <c r="AT256" s="350"/>
      <c r="AU256" s="350"/>
      <c r="AV256" s="350"/>
      <c r="AW256" s="350"/>
      <c r="AX256" s="350"/>
      <c r="AY256" s="350"/>
      <c r="AZ256" s="350"/>
      <c r="BA256" s="350"/>
      <c r="BB256" s="350"/>
      <c r="BC256" s="350"/>
      <c r="BD256" s="350"/>
      <c r="BE256" s="350"/>
      <c r="BF256" s="350"/>
      <c r="BG256" s="350"/>
      <c r="BH256" s="350"/>
      <c r="BI256" s="350"/>
      <c r="BJ256" s="350"/>
      <c r="BK256" s="350"/>
      <c r="BL256" s="646"/>
      <c r="BM256" s="646"/>
      <c r="BN256" s="646"/>
      <c r="BO256" s="646"/>
      <c r="BP256" s="646"/>
      <c r="BQ256" s="646"/>
      <c r="BR256" s="646"/>
      <c r="BS256" s="646"/>
      <c r="BT256" s="646"/>
      <c r="BU256" s="646"/>
      <c r="BV256" s="646"/>
      <c r="BW256" s="646"/>
      <c r="BX256" s="646"/>
      <c r="BY256" s="646"/>
    </row>
    <row r="257">
      <c r="A257" s="707" t="s">
        <v>966</v>
      </c>
      <c r="B257" s="7"/>
      <c r="C257" s="7"/>
      <c r="D257" s="7"/>
      <c r="E257" s="7"/>
      <c r="F257" s="5"/>
      <c r="G257" s="716" t="s">
        <v>984</v>
      </c>
      <c r="H257" s="7"/>
      <c r="I257" s="7"/>
      <c r="J257" s="7"/>
      <c r="K257" s="7"/>
      <c r="L257" s="7"/>
      <c r="M257" s="7"/>
      <c r="N257" s="7"/>
      <c r="O257" s="5"/>
      <c r="P257" s="714"/>
      <c r="Q257" s="732"/>
      <c r="R257" s="710"/>
      <c r="S257" s="710"/>
      <c r="T257" s="714"/>
      <c r="U257" s="708"/>
      <c r="V257" s="714"/>
      <c r="W257" s="714"/>
      <c r="X257" s="714"/>
      <c r="Y257" s="732"/>
      <c r="Z257" s="714"/>
      <c r="AA257" s="710"/>
      <c r="AB257" s="710"/>
      <c r="AC257" s="708"/>
      <c r="AD257" s="714"/>
      <c r="AE257" s="714"/>
      <c r="AF257" s="714"/>
      <c r="AG257" s="710"/>
      <c r="AH257" s="710"/>
      <c r="AI257" s="710"/>
      <c r="AJ257" s="734"/>
      <c r="AK257" s="7"/>
      <c r="AL257" s="7"/>
      <c r="AM257" s="7"/>
      <c r="AN257" s="7"/>
      <c r="AO257" s="5"/>
      <c r="AP257" s="733">
        <v>6.0</v>
      </c>
      <c r="AQ257" s="733">
        <v>12.0</v>
      </c>
      <c r="AR257" s="350"/>
      <c r="AS257" s="350"/>
      <c r="AT257" s="350"/>
      <c r="AU257" s="350"/>
      <c r="AV257" s="350"/>
      <c r="AW257" s="350"/>
      <c r="AX257" s="350"/>
      <c r="AY257" s="350"/>
      <c r="AZ257" s="350"/>
      <c r="BA257" s="350"/>
      <c r="BB257" s="350"/>
      <c r="BC257" s="350"/>
      <c r="BD257" s="350"/>
      <c r="BE257" s="350"/>
      <c r="BF257" s="350"/>
      <c r="BG257" s="350"/>
      <c r="BH257" s="350"/>
      <c r="BI257" s="350"/>
      <c r="BJ257" s="350"/>
      <c r="BK257" s="350"/>
      <c r="BL257" s="646"/>
      <c r="BM257" s="646"/>
      <c r="BN257" s="646"/>
      <c r="BO257" s="646"/>
      <c r="BP257" s="646"/>
      <c r="BQ257" s="646"/>
      <c r="BR257" s="646"/>
      <c r="BS257" s="646"/>
      <c r="BT257" s="646"/>
      <c r="BU257" s="646"/>
      <c r="BV257" s="646"/>
      <c r="BW257" s="646"/>
      <c r="BX257" s="646"/>
      <c r="BY257" s="646"/>
    </row>
    <row r="258">
      <c r="A258" s="707" t="s">
        <v>966</v>
      </c>
      <c r="B258" s="7"/>
      <c r="C258" s="7"/>
      <c r="D258" s="7"/>
      <c r="E258" s="7"/>
      <c r="F258" s="5"/>
      <c r="G258" s="716" t="s">
        <v>985</v>
      </c>
      <c r="H258" s="7"/>
      <c r="I258" s="7"/>
      <c r="J258" s="7"/>
      <c r="K258" s="7"/>
      <c r="L258" s="7"/>
      <c r="M258" s="7"/>
      <c r="N258" s="7"/>
      <c r="O258" s="5"/>
      <c r="P258" s="714"/>
      <c r="Q258" s="732"/>
      <c r="R258" s="710"/>
      <c r="S258" s="710"/>
      <c r="T258" s="714"/>
      <c r="U258" s="708"/>
      <c r="V258" s="714"/>
      <c r="W258" s="714"/>
      <c r="X258" s="714"/>
      <c r="Y258" s="732"/>
      <c r="Z258" s="714"/>
      <c r="AA258" s="710"/>
      <c r="AB258" s="710"/>
      <c r="AC258" s="708"/>
      <c r="AD258" s="714"/>
      <c r="AE258" s="714"/>
      <c r="AF258" s="714"/>
      <c r="AG258" s="710"/>
      <c r="AH258" s="710"/>
      <c r="AI258" s="710"/>
      <c r="AJ258" s="734"/>
      <c r="AK258" s="7"/>
      <c r="AL258" s="7"/>
      <c r="AM258" s="7"/>
      <c r="AN258" s="7"/>
      <c r="AO258" s="5"/>
      <c r="AP258" s="733">
        <v>6.0</v>
      </c>
      <c r="AQ258" s="733">
        <v>12.0</v>
      </c>
      <c r="AR258" s="350"/>
      <c r="AS258" s="350"/>
      <c r="AT258" s="350"/>
      <c r="AU258" s="350"/>
      <c r="AV258" s="350"/>
      <c r="AW258" s="350"/>
      <c r="AX258" s="350"/>
      <c r="AY258" s="350"/>
      <c r="AZ258" s="350"/>
      <c r="BA258" s="350"/>
      <c r="BB258" s="350"/>
      <c r="BC258" s="350"/>
      <c r="BD258" s="350"/>
      <c r="BE258" s="350"/>
      <c r="BF258" s="350"/>
      <c r="BG258" s="350"/>
      <c r="BH258" s="350"/>
      <c r="BI258" s="350"/>
      <c r="BJ258" s="350"/>
      <c r="BK258" s="350"/>
      <c r="BL258" s="646"/>
      <c r="BM258" s="646"/>
      <c r="BN258" s="646"/>
      <c r="BO258" s="646"/>
      <c r="BP258" s="646"/>
      <c r="BQ258" s="646"/>
      <c r="BR258" s="646"/>
      <c r="BS258" s="646"/>
      <c r="BT258" s="646"/>
      <c r="BU258" s="646"/>
      <c r="BV258" s="646"/>
      <c r="BW258" s="646"/>
      <c r="BX258" s="646"/>
      <c r="BY258" s="646"/>
    </row>
    <row r="259">
      <c r="A259" s="716" t="s">
        <v>967</v>
      </c>
      <c r="B259" s="7"/>
      <c r="C259" s="7"/>
      <c r="D259" s="7"/>
      <c r="E259" s="7"/>
      <c r="F259" s="5"/>
      <c r="G259" s="716" t="s">
        <v>986</v>
      </c>
      <c r="H259" s="7"/>
      <c r="I259" s="7"/>
      <c r="J259" s="7"/>
      <c r="K259" s="7"/>
      <c r="L259" s="7"/>
      <c r="M259" s="7"/>
      <c r="N259" s="7"/>
      <c r="O259" s="5"/>
      <c r="P259" s="714"/>
      <c r="Q259" s="714"/>
      <c r="R259" s="732"/>
      <c r="S259" s="710"/>
      <c r="T259" s="710"/>
      <c r="U259" s="710"/>
      <c r="V259" s="732"/>
      <c r="W259" s="714"/>
      <c r="X259" s="714"/>
      <c r="Y259" s="732"/>
      <c r="Z259" s="714"/>
      <c r="AA259" s="710"/>
      <c r="AB259" s="710"/>
      <c r="AC259" s="708"/>
      <c r="AD259" s="714"/>
      <c r="AE259" s="714"/>
      <c r="AF259" s="732"/>
      <c r="AG259" s="710"/>
      <c r="AH259" s="710"/>
      <c r="AI259" s="710"/>
      <c r="AJ259" s="734"/>
      <c r="AK259" s="7"/>
      <c r="AL259" s="7"/>
      <c r="AM259" s="7"/>
      <c r="AN259" s="7"/>
      <c r="AO259" s="5"/>
      <c r="AP259" s="733">
        <v>10.0</v>
      </c>
      <c r="AQ259" s="733">
        <v>8.0</v>
      </c>
      <c r="AR259" s="350"/>
      <c r="AS259" s="350"/>
      <c r="AT259" s="350"/>
      <c r="AU259" s="350"/>
      <c r="AV259" s="350"/>
      <c r="AW259" s="350"/>
      <c r="AX259" s="350"/>
      <c r="AY259" s="350"/>
      <c r="AZ259" s="350"/>
      <c r="BA259" s="350"/>
      <c r="BB259" s="350"/>
      <c r="BC259" s="350"/>
      <c r="BD259" s="350"/>
      <c r="BE259" s="350"/>
      <c r="BF259" s="350"/>
      <c r="BG259" s="350"/>
      <c r="BH259" s="350"/>
      <c r="BI259" s="350"/>
      <c r="BJ259" s="350"/>
      <c r="BK259" s="350"/>
      <c r="BL259" s="646"/>
      <c r="BM259" s="646"/>
      <c r="BN259" s="646"/>
      <c r="BO259" s="646"/>
      <c r="BP259" s="646"/>
      <c r="BQ259" s="646"/>
      <c r="BR259" s="646"/>
      <c r="BS259" s="646"/>
      <c r="BT259" s="646"/>
      <c r="BU259" s="646"/>
      <c r="BV259" s="646"/>
      <c r="BW259" s="646"/>
      <c r="BX259" s="646"/>
      <c r="BY259" s="646"/>
    </row>
    <row r="260">
      <c r="A260" s="716" t="s">
        <v>967</v>
      </c>
      <c r="B260" s="7"/>
      <c r="C260" s="7"/>
      <c r="D260" s="7"/>
      <c r="E260" s="7"/>
      <c r="F260" s="5"/>
      <c r="G260" s="716" t="s">
        <v>987</v>
      </c>
      <c r="H260" s="7"/>
      <c r="I260" s="7"/>
      <c r="J260" s="7"/>
      <c r="K260" s="7"/>
      <c r="L260" s="7"/>
      <c r="M260" s="7"/>
      <c r="N260" s="7"/>
      <c r="O260" s="5"/>
      <c r="P260" s="714"/>
      <c r="Q260" s="714"/>
      <c r="R260" s="732"/>
      <c r="S260" s="710"/>
      <c r="T260" s="710"/>
      <c r="U260" s="710"/>
      <c r="V260" s="732"/>
      <c r="W260" s="714"/>
      <c r="X260" s="714"/>
      <c r="Y260" s="732"/>
      <c r="Z260" s="714"/>
      <c r="AA260" s="710"/>
      <c r="AB260" s="710"/>
      <c r="AC260" s="708"/>
      <c r="AD260" s="714"/>
      <c r="AE260" s="714"/>
      <c r="AF260" s="732"/>
      <c r="AG260" s="710"/>
      <c r="AH260" s="710"/>
      <c r="AI260" s="710"/>
      <c r="AJ260" s="734"/>
      <c r="AK260" s="7"/>
      <c r="AL260" s="7"/>
      <c r="AM260" s="7"/>
      <c r="AN260" s="7"/>
      <c r="AO260" s="5"/>
      <c r="AP260" s="733">
        <v>10.0</v>
      </c>
      <c r="AQ260" s="733">
        <v>8.0</v>
      </c>
      <c r="AR260" s="350"/>
      <c r="AS260" s="350"/>
      <c r="AT260" s="350"/>
      <c r="AU260" s="350"/>
      <c r="AV260" s="350"/>
      <c r="AW260" s="350"/>
      <c r="AX260" s="350"/>
      <c r="AY260" s="350"/>
      <c r="AZ260" s="350"/>
      <c r="BA260" s="350"/>
      <c r="BB260" s="350"/>
      <c r="BC260" s="350"/>
      <c r="BD260" s="350"/>
      <c r="BE260" s="350"/>
      <c r="BF260" s="350"/>
      <c r="BG260" s="350"/>
      <c r="BH260" s="350"/>
      <c r="BI260" s="350"/>
      <c r="BJ260" s="350"/>
      <c r="BK260" s="350"/>
      <c r="BL260" s="646"/>
      <c r="BM260" s="646"/>
      <c r="BN260" s="646"/>
      <c r="BO260" s="646"/>
      <c r="BP260" s="646"/>
      <c r="BQ260" s="646"/>
      <c r="BR260" s="646"/>
      <c r="BS260" s="646"/>
      <c r="BT260" s="646"/>
      <c r="BU260" s="646"/>
      <c r="BV260" s="646"/>
      <c r="BW260" s="646"/>
      <c r="BX260" s="646"/>
      <c r="BY260" s="646"/>
    </row>
    <row r="261">
      <c r="A261" s="716" t="s">
        <v>967</v>
      </c>
      <c r="B261" s="7"/>
      <c r="C261" s="7"/>
      <c r="D261" s="7"/>
      <c r="E261" s="7"/>
      <c r="F261" s="5"/>
      <c r="G261" s="716" t="s">
        <v>988</v>
      </c>
      <c r="H261" s="7"/>
      <c r="I261" s="7"/>
      <c r="J261" s="7"/>
      <c r="K261" s="7"/>
      <c r="L261" s="7"/>
      <c r="M261" s="7"/>
      <c r="N261" s="7"/>
      <c r="O261" s="5"/>
      <c r="P261" s="714"/>
      <c r="Q261" s="714"/>
      <c r="R261" s="732"/>
      <c r="S261" s="710"/>
      <c r="T261" s="710"/>
      <c r="U261" s="710"/>
      <c r="V261" s="732"/>
      <c r="W261" s="714"/>
      <c r="X261" s="714"/>
      <c r="Y261" s="732"/>
      <c r="Z261" s="714"/>
      <c r="AA261" s="710"/>
      <c r="AB261" s="710"/>
      <c r="AC261" s="708"/>
      <c r="AD261" s="714"/>
      <c r="AE261" s="714"/>
      <c r="AF261" s="732"/>
      <c r="AG261" s="710"/>
      <c r="AH261" s="710"/>
      <c r="AI261" s="710"/>
      <c r="AJ261" s="734"/>
      <c r="AK261" s="7"/>
      <c r="AL261" s="7"/>
      <c r="AM261" s="7"/>
      <c r="AN261" s="7"/>
      <c r="AO261" s="5"/>
      <c r="AP261" s="733">
        <v>10.0</v>
      </c>
      <c r="AQ261" s="733">
        <v>8.0</v>
      </c>
      <c r="AR261" s="350"/>
      <c r="AS261" s="350"/>
      <c r="AT261" s="350"/>
      <c r="AU261" s="350"/>
      <c r="AV261" s="350"/>
      <c r="AW261" s="350"/>
      <c r="AX261" s="350"/>
      <c r="AY261" s="350"/>
      <c r="AZ261" s="350"/>
      <c r="BA261" s="350"/>
      <c r="BB261" s="350"/>
      <c r="BC261" s="350"/>
      <c r="BD261" s="350"/>
      <c r="BE261" s="350"/>
      <c r="BF261" s="350"/>
      <c r="BG261" s="350"/>
      <c r="BH261" s="350"/>
      <c r="BI261" s="350"/>
      <c r="BJ261" s="350"/>
      <c r="BK261" s="350"/>
      <c r="BL261" s="646"/>
      <c r="BM261" s="646"/>
      <c r="BN261" s="646"/>
      <c r="BO261" s="646"/>
      <c r="BP261" s="646"/>
      <c r="BQ261" s="646"/>
      <c r="BR261" s="646"/>
      <c r="BS261" s="646"/>
      <c r="BT261" s="646"/>
      <c r="BU261" s="646"/>
      <c r="BV261" s="646"/>
      <c r="BW261" s="646"/>
      <c r="BX261" s="646"/>
      <c r="BY261" s="646"/>
    </row>
    <row r="262">
      <c r="A262" s="716" t="s">
        <v>967</v>
      </c>
      <c r="B262" s="7"/>
      <c r="C262" s="7"/>
      <c r="D262" s="7"/>
      <c r="E262" s="7"/>
      <c r="F262" s="5"/>
      <c r="G262" s="716" t="s">
        <v>989</v>
      </c>
      <c r="H262" s="7"/>
      <c r="I262" s="7"/>
      <c r="J262" s="7"/>
      <c r="K262" s="7"/>
      <c r="L262" s="7"/>
      <c r="M262" s="7"/>
      <c r="N262" s="7"/>
      <c r="O262" s="5"/>
      <c r="P262" s="714"/>
      <c r="Q262" s="714"/>
      <c r="R262" s="732"/>
      <c r="S262" s="710"/>
      <c r="T262" s="710"/>
      <c r="U262" s="710"/>
      <c r="V262" s="732"/>
      <c r="W262" s="714"/>
      <c r="X262" s="714"/>
      <c r="Y262" s="732"/>
      <c r="Z262" s="714"/>
      <c r="AA262" s="710"/>
      <c r="AB262" s="710"/>
      <c r="AC262" s="708"/>
      <c r="AD262" s="714"/>
      <c r="AE262" s="714"/>
      <c r="AF262" s="732"/>
      <c r="AG262" s="710"/>
      <c r="AH262" s="710"/>
      <c r="AI262" s="710"/>
      <c r="AJ262" s="734"/>
      <c r="AK262" s="7"/>
      <c r="AL262" s="7"/>
      <c r="AM262" s="7"/>
      <c r="AN262" s="7"/>
      <c r="AO262" s="5"/>
      <c r="AP262" s="733">
        <v>10.0</v>
      </c>
      <c r="AQ262" s="733">
        <v>8.0</v>
      </c>
      <c r="AR262" s="350"/>
      <c r="AS262" s="350"/>
      <c r="AT262" s="350"/>
      <c r="AU262" s="350"/>
      <c r="AV262" s="350"/>
      <c r="AW262" s="350"/>
      <c r="AX262" s="350"/>
      <c r="AY262" s="350"/>
      <c r="AZ262" s="350"/>
      <c r="BA262" s="350"/>
      <c r="BB262" s="350"/>
      <c r="BC262" s="350"/>
      <c r="BD262" s="350"/>
      <c r="BE262" s="350"/>
      <c r="BF262" s="350"/>
      <c r="BG262" s="350"/>
      <c r="BH262" s="350"/>
      <c r="BI262" s="350"/>
      <c r="BJ262" s="350"/>
      <c r="BK262" s="350"/>
      <c r="BL262" s="646"/>
      <c r="BM262" s="646"/>
      <c r="BN262" s="646"/>
      <c r="BO262" s="646"/>
      <c r="BP262" s="646"/>
      <c r="BQ262" s="646"/>
      <c r="BR262" s="646"/>
      <c r="BS262" s="646"/>
      <c r="BT262" s="646"/>
      <c r="BU262" s="646"/>
      <c r="BV262" s="646"/>
      <c r="BW262" s="646"/>
      <c r="BX262" s="646"/>
      <c r="BY262" s="646"/>
    </row>
    <row r="263">
      <c r="A263" s="716" t="s">
        <v>967</v>
      </c>
      <c r="B263" s="7"/>
      <c r="C263" s="7"/>
      <c r="D263" s="7"/>
      <c r="E263" s="7"/>
      <c r="F263" s="5"/>
      <c r="G263" s="716" t="s">
        <v>990</v>
      </c>
      <c r="H263" s="7"/>
      <c r="I263" s="7"/>
      <c r="J263" s="7"/>
      <c r="K263" s="7"/>
      <c r="L263" s="7"/>
      <c r="M263" s="7"/>
      <c r="N263" s="7"/>
      <c r="O263" s="5"/>
      <c r="P263" s="714"/>
      <c r="Q263" s="714"/>
      <c r="R263" s="732"/>
      <c r="S263" s="710"/>
      <c r="T263" s="710"/>
      <c r="U263" s="710"/>
      <c r="V263" s="732"/>
      <c r="W263" s="714"/>
      <c r="X263" s="714"/>
      <c r="Y263" s="732"/>
      <c r="Z263" s="714"/>
      <c r="AA263" s="710"/>
      <c r="AB263" s="710"/>
      <c r="AC263" s="708"/>
      <c r="AD263" s="714"/>
      <c r="AE263" s="714"/>
      <c r="AF263" s="732"/>
      <c r="AG263" s="710"/>
      <c r="AH263" s="710"/>
      <c r="AI263" s="710"/>
      <c r="AJ263" s="734"/>
      <c r="AK263" s="7"/>
      <c r="AL263" s="7"/>
      <c r="AM263" s="7"/>
      <c r="AN263" s="7"/>
      <c r="AO263" s="5"/>
      <c r="AP263" s="733">
        <v>10.0</v>
      </c>
      <c r="AQ263" s="733">
        <v>8.0</v>
      </c>
      <c r="AR263" s="350"/>
      <c r="AS263" s="350"/>
      <c r="AT263" s="350"/>
      <c r="AU263" s="350"/>
      <c r="AV263" s="350"/>
      <c r="AW263" s="350"/>
      <c r="AX263" s="350"/>
      <c r="AY263" s="350"/>
      <c r="AZ263" s="350"/>
      <c r="BA263" s="350"/>
      <c r="BB263" s="350"/>
      <c r="BC263" s="350"/>
      <c r="BD263" s="350"/>
      <c r="BE263" s="350"/>
      <c r="BF263" s="350"/>
      <c r="BG263" s="350"/>
      <c r="BH263" s="350"/>
      <c r="BI263" s="350"/>
      <c r="BJ263" s="350"/>
      <c r="BK263" s="350"/>
      <c r="BL263" s="646"/>
      <c r="BM263" s="646"/>
      <c r="BN263" s="646"/>
      <c r="BO263" s="646"/>
      <c r="BP263" s="646"/>
      <c r="BQ263" s="646"/>
      <c r="BR263" s="646"/>
      <c r="BS263" s="646"/>
      <c r="BT263" s="646"/>
      <c r="BU263" s="646"/>
      <c r="BV263" s="646"/>
      <c r="BW263" s="646"/>
      <c r="BX263" s="646"/>
      <c r="BY263" s="646"/>
    </row>
    <row r="264">
      <c r="A264" s="716" t="s">
        <v>967</v>
      </c>
      <c r="B264" s="7"/>
      <c r="C264" s="7"/>
      <c r="D264" s="7"/>
      <c r="E264" s="7"/>
      <c r="F264" s="5"/>
      <c r="G264" s="716" t="s">
        <v>991</v>
      </c>
      <c r="H264" s="7"/>
      <c r="I264" s="7"/>
      <c r="J264" s="7"/>
      <c r="K264" s="7"/>
      <c r="L264" s="7"/>
      <c r="M264" s="7"/>
      <c r="N264" s="7"/>
      <c r="O264" s="5"/>
      <c r="P264" s="714"/>
      <c r="Q264" s="714"/>
      <c r="R264" s="732"/>
      <c r="S264" s="710"/>
      <c r="T264" s="710"/>
      <c r="U264" s="710"/>
      <c r="V264" s="732"/>
      <c r="W264" s="714"/>
      <c r="X264" s="714"/>
      <c r="Y264" s="732"/>
      <c r="Z264" s="714"/>
      <c r="AA264" s="710"/>
      <c r="AB264" s="710"/>
      <c r="AC264" s="708"/>
      <c r="AD264" s="714"/>
      <c r="AE264" s="714"/>
      <c r="AF264" s="732"/>
      <c r="AG264" s="710"/>
      <c r="AH264" s="710"/>
      <c r="AI264" s="710"/>
      <c r="AJ264" s="734"/>
      <c r="AK264" s="7"/>
      <c r="AL264" s="7"/>
      <c r="AM264" s="7"/>
      <c r="AN264" s="7"/>
      <c r="AO264" s="5"/>
      <c r="AP264" s="733">
        <v>10.0</v>
      </c>
      <c r="AQ264" s="733">
        <v>8.0</v>
      </c>
      <c r="AR264" s="350"/>
      <c r="AS264" s="350"/>
      <c r="AT264" s="350"/>
      <c r="AU264" s="350"/>
      <c r="AV264" s="350"/>
      <c r="AW264" s="350"/>
      <c r="AX264" s="350"/>
      <c r="AY264" s="350"/>
      <c r="AZ264" s="350"/>
      <c r="BA264" s="350"/>
      <c r="BB264" s="350"/>
      <c r="BC264" s="350"/>
      <c r="BD264" s="350"/>
      <c r="BE264" s="350"/>
      <c r="BF264" s="350"/>
      <c r="BG264" s="350"/>
      <c r="BH264" s="350"/>
      <c r="BI264" s="350"/>
      <c r="BJ264" s="350"/>
      <c r="BK264" s="350"/>
      <c r="BL264" s="646"/>
      <c r="BM264" s="646"/>
      <c r="BN264" s="646"/>
      <c r="BO264" s="646"/>
      <c r="BP264" s="646"/>
      <c r="BQ264" s="646"/>
      <c r="BR264" s="646"/>
      <c r="BS264" s="646"/>
      <c r="BT264" s="646"/>
      <c r="BU264" s="646"/>
      <c r="BV264" s="646"/>
      <c r="BW264" s="646"/>
      <c r="BX264" s="646"/>
      <c r="BY264" s="646"/>
    </row>
    <row r="265">
      <c r="A265" s="716" t="s">
        <v>967</v>
      </c>
      <c r="B265" s="7"/>
      <c r="C265" s="7"/>
      <c r="D265" s="7"/>
      <c r="E265" s="7"/>
      <c r="F265" s="5"/>
      <c r="G265" s="716" t="s">
        <v>992</v>
      </c>
      <c r="H265" s="7"/>
      <c r="I265" s="7"/>
      <c r="J265" s="7"/>
      <c r="K265" s="7"/>
      <c r="L265" s="7"/>
      <c r="M265" s="7"/>
      <c r="N265" s="7"/>
      <c r="O265" s="5"/>
      <c r="P265" s="714"/>
      <c r="Q265" s="714"/>
      <c r="R265" s="732"/>
      <c r="S265" s="710"/>
      <c r="T265" s="710"/>
      <c r="U265" s="710"/>
      <c r="V265" s="732"/>
      <c r="W265" s="714"/>
      <c r="X265" s="714"/>
      <c r="Y265" s="732"/>
      <c r="Z265" s="714"/>
      <c r="AA265" s="710"/>
      <c r="AB265" s="710"/>
      <c r="AC265" s="708"/>
      <c r="AD265" s="714"/>
      <c r="AE265" s="714"/>
      <c r="AF265" s="732"/>
      <c r="AG265" s="710"/>
      <c r="AH265" s="710"/>
      <c r="AI265" s="710"/>
      <c r="AJ265" s="734"/>
      <c r="AK265" s="7"/>
      <c r="AL265" s="7"/>
      <c r="AM265" s="7"/>
      <c r="AN265" s="7"/>
      <c r="AO265" s="5"/>
      <c r="AP265" s="733">
        <v>10.0</v>
      </c>
      <c r="AQ265" s="733">
        <v>8.0</v>
      </c>
      <c r="AR265" s="350"/>
      <c r="AS265" s="350"/>
      <c r="AT265" s="350"/>
      <c r="AU265" s="350"/>
      <c r="AV265" s="350"/>
      <c r="AW265" s="350"/>
      <c r="AX265" s="350"/>
      <c r="AY265" s="350"/>
      <c r="AZ265" s="350"/>
      <c r="BA265" s="350"/>
      <c r="BB265" s="350"/>
      <c r="BC265" s="350"/>
      <c r="BD265" s="350"/>
      <c r="BE265" s="350"/>
      <c r="BF265" s="350"/>
      <c r="BG265" s="350"/>
      <c r="BH265" s="350"/>
      <c r="BI265" s="350"/>
      <c r="BJ265" s="350"/>
      <c r="BK265" s="350"/>
      <c r="BL265" s="646"/>
      <c r="BM265" s="646"/>
      <c r="BN265" s="646"/>
      <c r="BO265" s="646"/>
      <c r="BP265" s="646"/>
      <c r="BQ265" s="646"/>
      <c r="BR265" s="646"/>
      <c r="BS265" s="646"/>
      <c r="BT265" s="646"/>
      <c r="BU265" s="646"/>
      <c r="BV265" s="646"/>
      <c r="BW265" s="646"/>
      <c r="BX265" s="646"/>
      <c r="BY265" s="646"/>
    </row>
    <row r="266">
      <c r="A266" s="716" t="s">
        <v>967</v>
      </c>
      <c r="B266" s="7"/>
      <c r="C266" s="7"/>
      <c r="D266" s="7"/>
      <c r="E266" s="7"/>
      <c r="F266" s="5"/>
      <c r="G266" s="716" t="s">
        <v>993</v>
      </c>
      <c r="H266" s="7"/>
      <c r="I266" s="7"/>
      <c r="J266" s="7"/>
      <c r="K266" s="7"/>
      <c r="L266" s="7"/>
      <c r="M266" s="7"/>
      <c r="N266" s="7"/>
      <c r="O266" s="5"/>
      <c r="P266" s="714"/>
      <c r="Q266" s="714"/>
      <c r="R266" s="732"/>
      <c r="S266" s="710"/>
      <c r="T266" s="710"/>
      <c r="U266" s="710"/>
      <c r="V266" s="732"/>
      <c r="W266" s="714"/>
      <c r="X266" s="714"/>
      <c r="Y266" s="732"/>
      <c r="Z266" s="714"/>
      <c r="AA266" s="710"/>
      <c r="AB266" s="710"/>
      <c r="AC266" s="708"/>
      <c r="AD266" s="714"/>
      <c r="AE266" s="714"/>
      <c r="AF266" s="732"/>
      <c r="AG266" s="710"/>
      <c r="AH266" s="710"/>
      <c r="AI266" s="710"/>
      <c r="AJ266" s="734"/>
      <c r="AK266" s="7"/>
      <c r="AL266" s="7"/>
      <c r="AM266" s="7"/>
      <c r="AN266" s="7"/>
      <c r="AO266" s="5"/>
      <c r="AP266" s="733">
        <v>10.0</v>
      </c>
      <c r="AQ266" s="733">
        <v>8.0</v>
      </c>
      <c r="AR266" s="350"/>
      <c r="AS266" s="350"/>
      <c r="AT266" s="350"/>
      <c r="AU266" s="350"/>
      <c r="AV266" s="350"/>
      <c r="AW266" s="350"/>
      <c r="AX266" s="350"/>
      <c r="AY266" s="350"/>
      <c r="AZ266" s="350"/>
      <c r="BA266" s="350"/>
      <c r="BB266" s="350"/>
      <c r="BC266" s="350"/>
      <c r="BD266" s="350"/>
      <c r="BE266" s="350"/>
      <c r="BF266" s="350"/>
      <c r="BG266" s="350"/>
      <c r="BH266" s="350"/>
      <c r="BI266" s="350"/>
      <c r="BJ266" s="350"/>
      <c r="BK266" s="350"/>
      <c r="BL266" s="646"/>
      <c r="BM266" s="646"/>
      <c r="BN266" s="646"/>
      <c r="BO266" s="646"/>
      <c r="BP266" s="646"/>
      <c r="BQ266" s="646"/>
      <c r="BR266" s="646"/>
      <c r="BS266" s="646"/>
      <c r="BT266" s="646"/>
      <c r="BU266" s="646"/>
      <c r="BV266" s="646"/>
      <c r="BW266" s="646"/>
      <c r="BX266" s="646"/>
      <c r="BY266" s="646"/>
    </row>
    <row r="267">
      <c r="A267" s="716" t="s">
        <v>994</v>
      </c>
      <c r="B267" s="7"/>
      <c r="C267" s="7"/>
      <c r="D267" s="7"/>
      <c r="E267" s="7"/>
      <c r="F267" s="5"/>
      <c r="G267" s="716" t="s">
        <v>995</v>
      </c>
      <c r="H267" s="7"/>
      <c r="I267" s="7"/>
      <c r="J267" s="7"/>
      <c r="K267" s="7"/>
      <c r="L267" s="7"/>
      <c r="M267" s="7"/>
      <c r="N267" s="7"/>
      <c r="O267" s="5"/>
      <c r="P267" s="714"/>
      <c r="Q267" s="714"/>
      <c r="R267" s="732"/>
      <c r="S267" s="710"/>
      <c r="T267" s="710"/>
      <c r="U267" s="708"/>
      <c r="V267" s="714"/>
      <c r="W267" s="714"/>
      <c r="X267" s="732"/>
      <c r="Y267" s="714"/>
      <c r="Z267" s="714"/>
      <c r="AA267" s="710"/>
      <c r="AB267" s="708"/>
      <c r="AC267" s="710"/>
      <c r="AD267" s="714"/>
      <c r="AE267" s="714"/>
      <c r="AF267" s="732"/>
      <c r="AG267" s="710"/>
      <c r="AH267" s="710"/>
      <c r="AI267" s="710"/>
      <c r="AJ267" s="734"/>
      <c r="AK267" s="7"/>
      <c r="AL267" s="7"/>
      <c r="AM267" s="7"/>
      <c r="AN267" s="7"/>
      <c r="AO267" s="5"/>
      <c r="AP267" s="733">
        <v>8.0</v>
      </c>
      <c r="AQ267" s="733">
        <v>10.0</v>
      </c>
      <c r="AR267" s="350"/>
      <c r="AS267" s="350"/>
      <c r="AT267" s="350"/>
      <c r="AU267" s="350"/>
      <c r="AV267" s="350"/>
      <c r="AW267" s="350"/>
      <c r="AX267" s="350"/>
      <c r="AY267" s="350"/>
      <c r="AZ267" s="350"/>
      <c r="BA267" s="350"/>
      <c r="BB267" s="350"/>
      <c r="BC267" s="350"/>
      <c r="BD267" s="350"/>
      <c r="BE267" s="350"/>
      <c r="BF267" s="350"/>
      <c r="BG267" s="350"/>
      <c r="BH267" s="350"/>
      <c r="BI267" s="350"/>
      <c r="BJ267" s="350"/>
      <c r="BK267" s="350"/>
      <c r="BL267" s="646"/>
      <c r="BM267" s="646"/>
      <c r="BN267" s="646"/>
      <c r="BO267" s="646"/>
      <c r="BP267" s="646"/>
      <c r="BQ267" s="646"/>
      <c r="BR267" s="646"/>
      <c r="BS267" s="646"/>
      <c r="BT267" s="646"/>
      <c r="BU267" s="646"/>
      <c r="BV267" s="646"/>
      <c r="BW267" s="646"/>
      <c r="BX267" s="646"/>
      <c r="BY267" s="646"/>
    </row>
    <row r="268">
      <c r="A268" s="716" t="s">
        <v>994</v>
      </c>
      <c r="B268" s="7"/>
      <c r="C268" s="7"/>
      <c r="D268" s="7"/>
      <c r="E268" s="7"/>
      <c r="F268" s="5"/>
      <c r="G268" s="716" t="s">
        <v>996</v>
      </c>
      <c r="H268" s="7"/>
      <c r="I268" s="7"/>
      <c r="J268" s="7"/>
      <c r="K268" s="7"/>
      <c r="L268" s="7"/>
      <c r="M268" s="7"/>
      <c r="N268" s="7"/>
      <c r="O268" s="5"/>
      <c r="P268" s="714"/>
      <c r="Q268" s="714"/>
      <c r="R268" s="732"/>
      <c r="S268" s="710"/>
      <c r="T268" s="710"/>
      <c r="U268" s="708"/>
      <c r="V268" s="714"/>
      <c r="W268" s="714"/>
      <c r="X268" s="732"/>
      <c r="Y268" s="714"/>
      <c r="Z268" s="714"/>
      <c r="AA268" s="710"/>
      <c r="AB268" s="710"/>
      <c r="AC268" s="710"/>
      <c r="AD268" s="714"/>
      <c r="AE268" s="714"/>
      <c r="AF268" s="732"/>
      <c r="AG268" s="710"/>
      <c r="AH268" s="710"/>
      <c r="AI268" s="710"/>
      <c r="AJ268" s="734"/>
      <c r="AK268" s="7"/>
      <c r="AL268" s="7"/>
      <c r="AM268" s="7"/>
      <c r="AN268" s="7"/>
      <c r="AO268" s="5"/>
      <c r="AP268" s="733">
        <v>8.0</v>
      </c>
      <c r="AQ268" s="733">
        <v>10.0</v>
      </c>
      <c r="AR268" s="350"/>
      <c r="AS268" s="350"/>
      <c r="AT268" s="350"/>
      <c r="AU268" s="350"/>
      <c r="AV268" s="350"/>
      <c r="AW268" s="350"/>
      <c r="AX268" s="350"/>
      <c r="AY268" s="350"/>
      <c r="AZ268" s="350"/>
      <c r="BA268" s="350"/>
      <c r="BB268" s="350"/>
      <c r="BC268" s="350"/>
      <c r="BD268" s="350"/>
      <c r="BE268" s="350"/>
      <c r="BF268" s="350"/>
      <c r="BG268" s="350"/>
      <c r="BH268" s="350"/>
      <c r="BI268" s="350"/>
      <c r="BJ268" s="350"/>
      <c r="BK268" s="350"/>
      <c r="BL268" s="646"/>
      <c r="BM268" s="646"/>
      <c r="BN268" s="646"/>
      <c r="BO268" s="646"/>
      <c r="BP268" s="646"/>
      <c r="BQ268" s="646"/>
      <c r="BR268" s="646"/>
      <c r="BS268" s="646"/>
      <c r="BT268" s="646"/>
      <c r="BU268" s="646"/>
      <c r="BV268" s="646"/>
      <c r="BW268" s="646"/>
      <c r="BX268" s="646"/>
      <c r="BY268" s="646"/>
    </row>
    <row r="269">
      <c r="A269" s="716" t="s">
        <v>994</v>
      </c>
      <c r="B269" s="7"/>
      <c r="C269" s="7"/>
      <c r="D269" s="7"/>
      <c r="E269" s="7"/>
      <c r="F269" s="5"/>
      <c r="G269" s="716" t="s">
        <v>997</v>
      </c>
      <c r="H269" s="7"/>
      <c r="I269" s="7"/>
      <c r="J269" s="7"/>
      <c r="K269" s="7"/>
      <c r="L269" s="7"/>
      <c r="M269" s="7"/>
      <c r="N269" s="7"/>
      <c r="O269" s="5"/>
      <c r="P269" s="714"/>
      <c r="Q269" s="714"/>
      <c r="R269" s="732"/>
      <c r="S269" s="710"/>
      <c r="T269" s="710"/>
      <c r="U269" s="708"/>
      <c r="V269" s="714"/>
      <c r="W269" s="714"/>
      <c r="X269" s="732"/>
      <c r="Y269" s="714"/>
      <c r="Z269" s="714"/>
      <c r="AA269" s="710"/>
      <c r="AB269" s="708"/>
      <c r="AC269" s="710"/>
      <c r="AD269" s="714"/>
      <c r="AE269" s="714"/>
      <c r="AF269" s="732"/>
      <c r="AG269" s="710"/>
      <c r="AH269" s="710"/>
      <c r="AI269" s="710"/>
      <c r="AJ269" s="734"/>
      <c r="AK269" s="7"/>
      <c r="AL269" s="7"/>
      <c r="AM269" s="7"/>
      <c r="AN269" s="7"/>
      <c r="AO269" s="5"/>
      <c r="AP269" s="733">
        <v>8.0</v>
      </c>
      <c r="AQ269" s="733">
        <v>10.0</v>
      </c>
      <c r="AR269" s="350"/>
      <c r="AS269" s="350"/>
      <c r="AT269" s="350"/>
      <c r="AU269" s="350"/>
      <c r="AV269" s="350"/>
      <c r="AW269" s="350"/>
      <c r="AX269" s="350"/>
      <c r="AY269" s="350"/>
      <c r="AZ269" s="350"/>
      <c r="BA269" s="350"/>
      <c r="BB269" s="350"/>
      <c r="BC269" s="350"/>
      <c r="BD269" s="350"/>
      <c r="BE269" s="350"/>
      <c r="BF269" s="350"/>
      <c r="BG269" s="350"/>
      <c r="BH269" s="350"/>
      <c r="BI269" s="350"/>
      <c r="BJ269" s="350"/>
      <c r="BK269" s="350"/>
      <c r="BL269" s="646"/>
      <c r="BM269" s="646"/>
      <c r="BN269" s="646"/>
      <c r="BO269" s="646"/>
      <c r="BP269" s="646"/>
      <c r="BQ269" s="646"/>
      <c r="BR269" s="646"/>
      <c r="BS269" s="646"/>
      <c r="BT269" s="646"/>
      <c r="BU269" s="646"/>
      <c r="BV269" s="646"/>
      <c r="BW269" s="646"/>
      <c r="BX269" s="646"/>
      <c r="BY269" s="646"/>
    </row>
    <row r="270">
      <c r="A270" s="716" t="s">
        <v>994</v>
      </c>
      <c r="B270" s="7"/>
      <c r="C270" s="7"/>
      <c r="D270" s="7"/>
      <c r="E270" s="7"/>
      <c r="F270" s="5"/>
      <c r="G270" s="716" t="s">
        <v>998</v>
      </c>
      <c r="H270" s="7"/>
      <c r="I270" s="7"/>
      <c r="J270" s="7"/>
      <c r="K270" s="7"/>
      <c r="L270" s="7"/>
      <c r="M270" s="7"/>
      <c r="N270" s="7"/>
      <c r="O270" s="5"/>
      <c r="P270" s="714"/>
      <c r="Q270" s="714"/>
      <c r="R270" s="732"/>
      <c r="S270" s="710"/>
      <c r="T270" s="710"/>
      <c r="U270" s="708"/>
      <c r="V270" s="714"/>
      <c r="W270" s="714"/>
      <c r="X270" s="732"/>
      <c r="Y270" s="714"/>
      <c r="Z270" s="714"/>
      <c r="AA270" s="710"/>
      <c r="AB270" s="708"/>
      <c r="AC270" s="710"/>
      <c r="AD270" s="714"/>
      <c r="AE270" s="714"/>
      <c r="AF270" s="732"/>
      <c r="AG270" s="710"/>
      <c r="AH270" s="710"/>
      <c r="AI270" s="710"/>
      <c r="AJ270" s="734"/>
      <c r="AK270" s="7"/>
      <c r="AL270" s="7"/>
      <c r="AM270" s="7"/>
      <c r="AN270" s="7"/>
      <c r="AO270" s="5"/>
      <c r="AP270" s="733">
        <v>8.0</v>
      </c>
      <c r="AQ270" s="733">
        <v>10.0</v>
      </c>
      <c r="AR270" s="350"/>
      <c r="AS270" s="350"/>
      <c r="AT270" s="350"/>
      <c r="AU270" s="350"/>
      <c r="AV270" s="350"/>
      <c r="AW270" s="350"/>
      <c r="AX270" s="350"/>
      <c r="AY270" s="350"/>
      <c r="AZ270" s="350"/>
      <c r="BA270" s="350"/>
      <c r="BB270" s="350"/>
      <c r="BC270" s="350"/>
      <c r="BD270" s="350"/>
      <c r="BE270" s="350"/>
      <c r="BF270" s="350"/>
      <c r="BG270" s="350"/>
      <c r="BH270" s="350"/>
      <c r="BI270" s="350"/>
      <c r="BJ270" s="350"/>
      <c r="BK270" s="350"/>
      <c r="BL270" s="646"/>
      <c r="BM270" s="646"/>
      <c r="BN270" s="646"/>
      <c r="BO270" s="646"/>
      <c r="BP270" s="646"/>
      <c r="BQ270" s="646"/>
      <c r="BR270" s="646"/>
      <c r="BS270" s="646"/>
      <c r="BT270" s="646"/>
      <c r="BU270" s="646"/>
      <c r="BV270" s="646"/>
      <c r="BW270" s="646"/>
      <c r="BX270" s="646"/>
      <c r="BY270" s="646"/>
    </row>
    <row r="271">
      <c r="A271" s="716" t="s">
        <v>994</v>
      </c>
      <c r="B271" s="7"/>
      <c r="C271" s="7"/>
      <c r="D271" s="7"/>
      <c r="E271" s="7"/>
      <c r="F271" s="5"/>
      <c r="G271" s="716" t="s">
        <v>999</v>
      </c>
      <c r="H271" s="7"/>
      <c r="I271" s="7"/>
      <c r="J271" s="7"/>
      <c r="K271" s="7"/>
      <c r="L271" s="7"/>
      <c r="M271" s="7"/>
      <c r="N271" s="7"/>
      <c r="O271" s="5"/>
      <c r="P271" s="714"/>
      <c r="Q271" s="714"/>
      <c r="R271" s="732"/>
      <c r="S271" s="710"/>
      <c r="T271" s="710"/>
      <c r="U271" s="708"/>
      <c r="V271" s="714"/>
      <c r="W271" s="714"/>
      <c r="X271" s="732"/>
      <c r="Y271" s="714"/>
      <c r="Z271" s="714"/>
      <c r="AA271" s="710"/>
      <c r="AB271" s="708"/>
      <c r="AC271" s="710"/>
      <c r="AD271" s="714"/>
      <c r="AE271" s="714"/>
      <c r="AF271" s="741"/>
      <c r="AG271" s="710"/>
      <c r="AH271" s="710"/>
      <c r="AI271" s="710"/>
      <c r="AJ271" s="734"/>
      <c r="AK271" s="7"/>
      <c r="AL271" s="7"/>
      <c r="AM271" s="7"/>
      <c r="AN271" s="7"/>
      <c r="AO271" s="5"/>
      <c r="AP271" s="733">
        <v>8.0</v>
      </c>
      <c r="AQ271" s="733">
        <v>10.0</v>
      </c>
      <c r="AR271" s="350"/>
      <c r="AS271" s="350"/>
      <c r="AT271" s="350"/>
      <c r="AU271" s="350"/>
      <c r="AV271" s="350"/>
      <c r="AW271" s="350"/>
      <c r="AX271" s="350"/>
      <c r="AY271" s="350"/>
      <c r="AZ271" s="350"/>
      <c r="BA271" s="350"/>
      <c r="BB271" s="350"/>
      <c r="BC271" s="350"/>
      <c r="BD271" s="350"/>
      <c r="BE271" s="350"/>
      <c r="BF271" s="350"/>
      <c r="BG271" s="350"/>
      <c r="BH271" s="350"/>
      <c r="BI271" s="350"/>
      <c r="BJ271" s="350"/>
      <c r="BK271" s="350"/>
      <c r="BL271" s="646"/>
      <c r="BM271" s="646"/>
      <c r="BN271" s="646"/>
      <c r="BO271" s="646"/>
      <c r="BP271" s="646"/>
      <c r="BQ271" s="646"/>
      <c r="BR271" s="646"/>
      <c r="BS271" s="646"/>
      <c r="BT271" s="646"/>
      <c r="BU271" s="646"/>
      <c r="BV271" s="646"/>
      <c r="BW271" s="646"/>
      <c r="BX271" s="646"/>
      <c r="BY271" s="646"/>
    </row>
    <row r="272">
      <c r="A272" s="716" t="s">
        <v>994</v>
      </c>
      <c r="B272" s="7"/>
      <c r="C272" s="7"/>
      <c r="D272" s="7"/>
      <c r="E272" s="7"/>
      <c r="F272" s="5"/>
      <c r="G272" s="716" t="s">
        <v>1000</v>
      </c>
      <c r="H272" s="7"/>
      <c r="I272" s="7"/>
      <c r="J272" s="7"/>
      <c r="K272" s="7"/>
      <c r="L272" s="7"/>
      <c r="M272" s="7"/>
      <c r="N272" s="7"/>
      <c r="O272" s="5"/>
      <c r="P272" s="714"/>
      <c r="Q272" s="714"/>
      <c r="R272" s="732"/>
      <c r="S272" s="710"/>
      <c r="T272" s="710"/>
      <c r="U272" s="708"/>
      <c r="V272" s="714"/>
      <c r="W272" s="714"/>
      <c r="X272" s="732"/>
      <c r="Y272" s="714"/>
      <c r="Z272" s="714"/>
      <c r="AA272" s="710"/>
      <c r="AB272" s="708"/>
      <c r="AC272" s="710"/>
      <c r="AD272" s="714"/>
      <c r="AE272" s="714"/>
      <c r="AF272" s="732"/>
      <c r="AG272" s="710"/>
      <c r="AH272" s="710"/>
      <c r="AI272" s="710"/>
      <c r="AJ272" s="734"/>
      <c r="AK272" s="7"/>
      <c r="AL272" s="7"/>
      <c r="AM272" s="7"/>
      <c r="AN272" s="7"/>
      <c r="AO272" s="5"/>
      <c r="AP272" s="733">
        <v>8.0</v>
      </c>
      <c r="AQ272" s="733">
        <v>10.0</v>
      </c>
      <c r="AR272" s="350"/>
      <c r="AS272" s="350"/>
      <c r="AT272" s="350"/>
      <c r="AU272" s="350"/>
      <c r="AV272" s="350"/>
      <c r="AW272" s="350"/>
      <c r="AX272" s="350"/>
      <c r="AY272" s="350"/>
      <c r="AZ272" s="350"/>
      <c r="BA272" s="350"/>
      <c r="BB272" s="350"/>
      <c r="BC272" s="350"/>
      <c r="BD272" s="350"/>
      <c r="BE272" s="350"/>
      <c r="BF272" s="350"/>
      <c r="BG272" s="350"/>
      <c r="BH272" s="350"/>
      <c r="BI272" s="350"/>
      <c r="BJ272" s="350"/>
      <c r="BK272" s="350"/>
      <c r="BL272" s="646"/>
      <c r="BM272" s="646"/>
      <c r="BN272" s="646"/>
      <c r="BO272" s="646"/>
      <c r="BP272" s="646"/>
      <c r="BQ272" s="646"/>
      <c r="BR272" s="646"/>
      <c r="BS272" s="646"/>
      <c r="BT272" s="646"/>
      <c r="BU272" s="646"/>
      <c r="BV272" s="646"/>
      <c r="BW272" s="646"/>
      <c r="BX272" s="646"/>
      <c r="BY272" s="646"/>
    </row>
    <row r="273">
      <c r="A273" s="716" t="s">
        <v>994</v>
      </c>
      <c r="B273" s="7"/>
      <c r="C273" s="7"/>
      <c r="D273" s="7"/>
      <c r="E273" s="7"/>
      <c r="F273" s="5"/>
      <c r="G273" s="716" t="s">
        <v>114</v>
      </c>
      <c r="H273" s="7"/>
      <c r="I273" s="7"/>
      <c r="J273" s="7"/>
      <c r="K273" s="7"/>
      <c r="L273" s="7"/>
      <c r="M273" s="7"/>
      <c r="N273" s="7"/>
      <c r="O273" s="5"/>
      <c r="P273" s="714"/>
      <c r="Q273" s="714"/>
      <c r="R273" s="732"/>
      <c r="S273" s="710"/>
      <c r="T273" s="710"/>
      <c r="U273" s="708"/>
      <c r="V273" s="714"/>
      <c r="W273" s="714"/>
      <c r="X273" s="714"/>
      <c r="Y273" s="714"/>
      <c r="Z273" s="714"/>
      <c r="AA273" s="710"/>
      <c r="AB273" s="708"/>
      <c r="AC273" s="710"/>
      <c r="AD273" s="714"/>
      <c r="AE273" s="714"/>
      <c r="AF273" s="732"/>
      <c r="AG273" s="710"/>
      <c r="AH273" s="710"/>
      <c r="AI273" s="710"/>
      <c r="AJ273" s="734"/>
      <c r="AK273" s="7"/>
      <c r="AL273" s="7"/>
      <c r="AM273" s="7"/>
      <c r="AN273" s="7"/>
      <c r="AO273" s="5"/>
      <c r="AP273" s="733">
        <v>8.0</v>
      </c>
      <c r="AQ273" s="733">
        <v>10.0</v>
      </c>
      <c r="AR273" s="350"/>
      <c r="AS273" s="350"/>
      <c r="AT273" s="350"/>
      <c r="AU273" s="350"/>
      <c r="AV273" s="350"/>
      <c r="AW273" s="350"/>
      <c r="AX273" s="350"/>
      <c r="AY273" s="350"/>
      <c r="AZ273" s="350"/>
      <c r="BA273" s="350"/>
      <c r="BB273" s="350"/>
      <c r="BC273" s="350"/>
      <c r="BD273" s="350"/>
      <c r="BE273" s="350"/>
      <c r="BF273" s="350"/>
      <c r="BG273" s="350"/>
      <c r="BH273" s="350"/>
      <c r="BI273" s="350"/>
      <c r="BJ273" s="350"/>
      <c r="BK273" s="350"/>
      <c r="BL273" s="646"/>
      <c r="BM273" s="646"/>
      <c r="BN273" s="646"/>
      <c r="BO273" s="646"/>
      <c r="BP273" s="646"/>
      <c r="BQ273" s="646"/>
      <c r="BR273" s="646"/>
      <c r="BS273" s="646"/>
      <c r="BT273" s="646"/>
      <c r="BU273" s="646"/>
      <c r="BV273" s="646"/>
      <c r="BW273" s="646"/>
      <c r="BX273" s="646"/>
      <c r="BY273" s="646"/>
    </row>
    <row r="274">
      <c r="A274" s="716" t="s">
        <v>994</v>
      </c>
      <c r="B274" s="7"/>
      <c r="C274" s="7"/>
      <c r="D274" s="7"/>
      <c r="E274" s="7"/>
      <c r="F274" s="5"/>
      <c r="G274" s="716" t="s">
        <v>1001</v>
      </c>
      <c r="H274" s="7"/>
      <c r="I274" s="7"/>
      <c r="J274" s="7"/>
      <c r="K274" s="7"/>
      <c r="L274" s="7"/>
      <c r="M274" s="7"/>
      <c r="N274" s="7"/>
      <c r="O274" s="5"/>
      <c r="P274" s="714"/>
      <c r="Q274" s="714"/>
      <c r="R274" s="732"/>
      <c r="S274" s="710"/>
      <c r="T274" s="710"/>
      <c r="U274" s="708"/>
      <c r="V274" s="714"/>
      <c r="W274" s="714"/>
      <c r="X274" s="732"/>
      <c r="Y274" s="714"/>
      <c r="Z274" s="714"/>
      <c r="AA274" s="710"/>
      <c r="AB274" s="708"/>
      <c r="AC274" s="710"/>
      <c r="AD274" s="714"/>
      <c r="AE274" s="714"/>
      <c r="AF274" s="732"/>
      <c r="AG274" s="710"/>
      <c r="AH274" s="710"/>
      <c r="AI274" s="710"/>
      <c r="AJ274" s="734"/>
      <c r="AK274" s="7"/>
      <c r="AL274" s="7"/>
      <c r="AM274" s="7"/>
      <c r="AN274" s="7"/>
      <c r="AO274" s="5"/>
      <c r="AP274" s="733">
        <v>8.0</v>
      </c>
      <c r="AQ274" s="733">
        <v>10.0</v>
      </c>
      <c r="AR274" s="350"/>
      <c r="AS274" s="350"/>
      <c r="AT274" s="350"/>
      <c r="AU274" s="350"/>
      <c r="AV274" s="350"/>
      <c r="AW274" s="350"/>
      <c r="AX274" s="350"/>
      <c r="AY274" s="350"/>
      <c r="AZ274" s="350"/>
      <c r="BA274" s="350"/>
      <c r="BB274" s="350"/>
      <c r="BC274" s="350"/>
      <c r="BD274" s="350"/>
      <c r="BE274" s="350"/>
      <c r="BF274" s="350"/>
      <c r="BG274" s="350"/>
      <c r="BH274" s="350"/>
      <c r="BI274" s="350"/>
      <c r="BJ274" s="350"/>
      <c r="BK274" s="350"/>
      <c r="BL274" s="646"/>
      <c r="BM274" s="646"/>
      <c r="BN274" s="646"/>
      <c r="BO274" s="646"/>
      <c r="BP274" s="646"/>
      <c r="BQ274" s="646"/>
      <c r="BR274" s="646"/>
      <c r="BS274" s="646"/>
      <c r="BT274" s="646"/>
      <c r="BU274" s="646"/>
      <c r="BV274" s="646"/>
      <c r="BW274" s="646"/>
      <c r="BX274" s="646"/>
      <c r="BY274" s="646"/>
    </row>
    <row r="275">
      <c r="A275" s="716" t="s">
        <v>994</v>
      </c>
      <c r="B275" s="7"/>
      <c r="C275" s="7"/>
      <c r="D275" s="7"/>
      <c r="E275" s="7"/>
      <c r="F275" s="5"/>
      <c r="G275" s="716" t="s">
        <v>1002</v>
      </c>
      <c r="H275" s="7"/>
      <c r="I275" s="7"/>
      <c r="J275" s="7"/>
      <c r="K275" s="7"/>
      <c r="L275" s="7"/>
      <c r="M275" s="7"/>
      <c r="N275" s="7"/>
      <c r="O275" s="5"/>
      <c r="P275" s="714"/>
      <c r="Q275" s="714"/>
      <c r="R275" s="732"/>
      <c r="S275" s="710"/>
      <c r="T275" s="710"/>
      <c r="U275" s="708"/>
      <c r="V275" s="714"/>
      <c r="W275" s="714"/>
      <c r="X275" s="714"/>
      <c r="Y275" s="714"/>
      <c r="Z275" s="714"/>
      <c r="AA275" s="710"/>
      <c r="AB275" s="708"/>
      <c r="AC275" s="710"/>
      <c r="AD275" s="714"/>
      <c r="AE275" s="714"/>
      <c r="AF275" s="732"/>
      <c r="AG275" s="710"/>
      <c r="AH275" s="710"/>
      <c r="AI275" s="710"/>
      <c r="AJ275" s="734"/>
      <c r="AK275" s="7"/>
      <c r="AL275" s="7"/>
      <c r="AM275" s="7"/>
      <c r="AN275" s="7"/>
      <c r="AO275" s="5"/>
      <c r="AP275" s="733">
        <v>8.0</v>
      </c>
      <c r="AQ275" s="733">
        <v>10.0</v>
      </c>
      <c r="AR275" s="350"/>
      <c r="AS275" s="350"/>
      <c r="AT275" s="350"/>
      <c r="AU275" s="350"/>
      <c r="AV275" s="350"/>
      <c r="AW275" s="350"/>
      <c r="AX275" s="350"/>
      <c r="AY275" s="350"/>
      <c r="AZ275" s="350"/>
      <c r="BA275" s="350"/>
      <c r="BB275" s="350"/>
      <c r="BC275" s="350"/>
      <c r="BD275" s="350"/>
      <c r="BE275" s="350"/>
      <c r="BF275" s="350"/>
      <c r="BG275" s="350"/>
      <c r="BH275" s="350"/>
      <c r="BI275" s="350"/>
      <c r="BJ275" s="350"/>
      <c r="BK275" s="350"/>
      <c r="BL275" s="646"/>
      <c r="BM275" s="646"/>
      <c r="BN275" s="646"/>
      <c r="BO275" s="646"/>
      <c r="BP275" s="646"/>
      <c r="BQ275" s="646"/>
      <c r="BR275" s="646"/>
      <c r="BS275" s="646"/>
      <c r="BT275" s="646"/>
      <c r="BU275" s="646"/>
      <c r="BV275" s="646"/>
      <c r="BW275" s="646"/>
      <c r="BX275" s="646"/>
      <c r="BY275" s="646"/>
    </row>
    <row r="276">
      <c r="A276" s="716" t="s">
        <v>969</v>
      </c>
      <c r="B276" s="7"/>
      <c r="C276" s="7"/>
      <c r="D276" s="7"/>
      <c r="E276" s="7"/>
      <c r="F276" s="5"/>
      <c r="G276" s="716" t="s">
        <v>1003</v>
      </c>
      <c r="H276" s="7"/>
      <c r="I276" s="7"/>
      <c r="J276" s="7"/>
      <c r="K276" s="7"/>
      <c r="L276" s="7"/>
      <c r="M276" s="7"/>
      <c r="N276" s="7"/>
      <c r="O276" s="5"/>
      <c r="P276" s="714"/>
      <c r="Q276" s="732"/>
      <c r="R276" s="714"/>
      <c r="S276" s="710"/>
      <c r="T276" s="708"/>
      <c r="U276" s="745"/>
      <c r="V276" s="714"/>
      <c r="W276" s="714"/>
      <c r="X276" s="732"/>
      <c r="Y276" s="714"/>
      <c r="Z276" s="714"/>
      <c r="AA276" s="710"/>
      <c r="AB276" s="708"/>
      <c r="AC276" s="710"/>
      <c r="AD276" s="714"/>
      <c r="AE276" s="714"/>
      <c r="AF276" s="732"/>
      <c r="AG276" s="710"/>
      <c r="AH276" s="710"/>
      <c r="AI276" s="710"/>
      <c r="AJ276" s="734"/>
      <c r="AK276" s="7"/>
      <c r="AL276" s="7"/>
      <c r="AM276" s="7"/>
      <c r="AN276" s="7"/>
      <c r="AO276" s="5"/>
      <c r="AP276" s="733">
        <v>8.0</v>
      </c>
      <c r="AQ276" s="733">
        <v>10.0</v>
      </c>
      <c r="AR276" s="350"/>
      <c r="AS276" s="350"/>
      <c r="AT276" s="350"/>
      <c r="AU276" s="350"/>
      <c r="AV276" s="350"/>
      <c r="AW276" s="350"/>
      <c r="AX276" s="350"/>
      <c r="AY276" s="350"/>
      <c r="AZ276" s="350"/>
      <c r="BA276" s="350"/>
      <c r="BB276" s="350"/>
      <c r="BC276" s="350"/>
      <c r="BD276" s="350"/>
      <c r="BE276" s="350"/>
      <c r="BF276" s="350"/>
      <c r="BG276" s="350"/>
      <c r="BH276" s="350"/>
      <c r="BI276" s="350"/>
      <c r="BJ276" s="350"/>
      <c r="BK276" s="350"/>
      <c r="BL276" s="646"/>
      <c r="BM276" s="646"/>
      <c r="BN276" s="646"/>
      <c r="BO276" s="646"/>
      <c r="BP276" s="646"/>
      <c r="BQ276" s="646"/>
      <c r="BR276" s="646"/>
      <c r="BS276" s="646"/>
      <c r="BT276" s="646"/>
      <c r="BU276" s="646"/>
      <c r="BV276" s="646"/>
      <c r="BW276" s="646"/>
      <c r="BX276" s="646"/>
      <c r="BY276" s="646"/>
    </row>
    <row r="277">
      <c r="A277" s="716" t="s">
        <v>969</v>
      </c>
      <c r="B277" s="7"/>
      <c r="C277" s="7"/>
      <c r="D277" s="7"/>
      <c r="E277" s="7"/>
      <c r="F277" s="5"/>
      <c r="G277" s="716" t="s">
        <v>1004</v>
      </c>
      <c r="H277" s="7"/>
      <c r="I277" s="7"/>
      <c r="J277" s="7"/>
      <c r="K277" s="7"/>
      <c r="L277" s="7"/>
      <c r="M277" s="7"/>
      <c r="N277" s="7"/>
      <c r="O277" s="5"/>
      <c r="P277" s="714"/>
      <c r="Q277" s="732"/>
      <c r="R277" s="714"/>
      <c r="S277" s="710"/>
      <c r="T277" s="708"/>
      <c r="U277" s="708"/>
      <c r="V277" s="714"/>
      <c r="W277" s="714"/>
      <c r="X277" s="732"/>
      <c r="Y277" s="714"/>
      <c r="Z277" s="714"/>
      <c r="AA277" s="710"/>
      <c r="AB277" s="708"/>
      <c r="AC277" s="710"/>
      <c r="AD277" s="714"/>
      <c r="AE277" s="714"/>
      <c r="AF277" s="732"/>
      <c r="AG277" s="710"/>
      <c r="AH277" s="710"/>
      <c r="AI277" s="710"/>
      <c r="AJ277" s="734"/>
      <c r="AK277" s="7"/>
      <c r="AL277" s="7"/>
      <c r="AM277" s="7"/>
      <c r="AN277" s="7"/>
      <c r="AO277" s="5"/>
      <c r="AP277" s="733">
        <v>8.0</v>
      </c>
      <c r="AQ277" s="733">
        <v>10.0</v>
      </c>
      <c r="AR277" s="350"/>
      <c r="AS277" s="350"/>
      <c r="AT277" s="350"/>
      <c r="AU277" s="350"/>
      <c r="AV277" s="350"/>
      <c r="AW277" s="350"/>
      <c r="AX277" s="350"/>
      <c r="AY277" s="350"/>
      <c r="AZ277" s="350"/>
      <c r="BA277" s="350"/>
      <c r="BB277" s="350"/>
      <c r="BC277" s="350"/>
      <c r="BD277" s="350"/>
      <c r="BE277" s="350"/>
      <c r="BF277" s="350"/>
      <c r="BG277" s="350"/>
      <c r="BH277" s="350"/>
      <c r="BI277" s="350"/>
      <c r="BJ277" s="350"/>
      <c r="BK277" s="350"/>
      <c r="BL277" s="646"/>
      <c r="BM277" s="646"/>
      <c r="BN277" s="646"/>
      <c r="BO277" s="646"/>
      <c r="BP277" s="646"/>
      <c r="BQ277" s="646"/>
      <c r="BR277" s="646"/>
      <c r="BS277" s="646"/>
      <c r="BT277" s="646"/>
      <c r="BU277" s="646"/>
      <c r="BV277" s="646"/>
      <c r="BW277" s="646"/>
      <c r="BX277" s="646"/>
      <c r="BY277" s="646"/>
    </row>
    <row r="278">
      <c r="A278" s="716" t="s">
        <v>969</v>
      </c>
      <c r="B278" s="7"/>
      <c r="C278" s="7"/>
      <c r="D278" s="7"/>
      <c r="E278" s="7"/>
      <c r="F278" s="5"/>
      <c r="G278" s="716" t="s">
        <v>1005</v>
      </c>
      <c r="H278" s="7"/>
      <c r="I278" s="7"/>
      <c r="J278" s="7"/>
      <c r="K278" s="7"/>
      <c r="L278" s="7"/>
      <c r="M278" s="7"/>
      <c r="N278" s="7"/>
      <c r="O278" s="5"/>
      <c r="P278" s="714"/>
      <c r="Q278" s="732"/>
      <c r="R278" s="714"/>
      <c r="S278" s="710"/>
      <c r="T278" s="708"/>
      <c r="U278" s="708"/>
      <c r="V278" s="714"/>
      <c r="W278" s="714"/>
      <c r="X278" s="732"/>
      <c r="Y278" s="714"/>
      <c r="Z278" s="714"/>
      <c r="AA278" s="710"/>
      <c r="AB278" s="708"/>
      <c r="AC278" s="710"/>
      <c r="AD278" s="714"/>
      <c r="AE278" s="714"/>
      <c r="AF278" s="732"/>
      <c r="AG278" s="710"/>
      <c r="AH278" s="710"/>
      <c r="AI278" s="710"/>
      <c r="AJ278" s="734"/>
      <c r="AK278" s="7"/>
      <c r="AL278" s="7"/>
      <c r="AM278" s="7"/>
      <c r="AN278" s="7"/>
      <c r="AO278" s="5"/>
      <c r="AP278" s="733">
        <v>8.0</v>
      </c>
      <c r="AQ278" s="733">
        <v>10.0</v>
      </c>
      <c r="AR278" s="350"/>
      <c r="AS278" s="350"/>
      <c r="AT278" s="350"/>
      <c r="AU278" s="350"/>
      <c r="AV278" s="350"/>
      <c r="AW278" s="350"/>
      <c r="AX278" s="350"/>
      <c r="AY278" s="350"/>
      <c r="AZ278" s="350"/>
      <c r="BA278" s="350"/>
      <c r="BB278" s="350"/>
      <c r="BC278" s="350"/>
      <c r="BD278" s="350"/>
      <c r="BE278" s="350"/>
      <c r="BF278" s="350"/>
      <c r="BG278" s="350"/>
      <c r="BH278" s="350"/>
      <c r="BI278" s="350"/>
      <c r="BJ278" s="350"/>
      <c r="BK278" s="350"/>
      <c r="BL278" s="646"/>
      <c r="BM278" s="646"/>
      <c r="BN278" s="646"/>
      <c r="BO278" s="646"/>
      <c r="BP278" s="646"/>
      <c r="BQ278" s="646"/>
      <c r="BR278" s="646"/>
      <c r="BS278" s="646"/>
      <c r="BT278" s="646"/>
      <c r="BU278" s="646"/>
      <c r="BV278" s="646"/>
      <c r="BW278" s="646"/>
      <c r="BX278" s="646"/>
      <c r="BY278" s="646"/>
    </row>
    <row r="279">
      <c r="A279" s="716" t="s">
        <v>969</v>
      </c>
      <c r="B279" s="7"/>
      <c r="C279" s="7"/>
      <c r="D279" s="7"/>
      <c r="E279" s="7"/>
      <c r="F279" s="5"/>
      <c r="G279" s="716" t="s">
        <v>1006</v>
      </c>
      <c r="H279" s="7"/>
      <c r="I279" s="7"/>
      <c r="J279" s="7"/>
      <c r="K279" s="7"/>
      <c r="L279" s="7"/>
      <c r="M279" s="7"/>
      <c r="N279" s="7"/>
      <c r="O279" s="5"/>
      <c r="P279" s="714"/>
      <c r="Q279" s="732"/>
      <c r="R279" s="714"/>
      <c r="S279" s="710"/>
      <c r="T279" s="708"/>
      <c r="U279" s="708"/>
      <c r="V279" s="714"/>
      <c r="W279" s="714"/>
      <c r="X279" s="732"/>
      <c r="Y279" s="714"/>
      <c r="Z279" s="714"/>
      <c r="AA279" s="710"/>
      <c r="AB279" s="708"/>
      <c r="AC279" s="710"/>
      <c r="AD279" s="714"/>
      <c r="AE279" s="714"/>
      <c r="AF279" s="732"/>
      <c r="AG279" s="710"/>
      <c r="AH279" s="710"/>
      <c r="AI279" s="710"/>
      <c r="AJ279" s="734"/>
      <c r="AK279" s="7"/>
      <c r="AL279" s="7"/>
      <c r="AM279" s="7"/>
      <c r="AN279" s="7"/>
      <c r="AO279" s="5"/>
      <c r="AP279" s="733">
        <v>8.0</v>
      </c>
      <c r="AQ279" s="733">
        <v>10.0</v>
      </c>
      <c r="AR279" s="350"/>
      <c r="AS279" s="350"/>
      <c r="AT279" s="350"/>
      <c r="AU279" s="350"/>
      <c r="AV279" s="350"/>
      <c r="AW279" s="350"/>
      <c r="AX279" s="350"/>
      <c r="AY279" s="350"/>
      <c r="AZ279" s="350"/>
      <c r="BA279" s="350"/>
      <c r="BB279" s="350"/>
      <c r="BC279" s="350"/>
      <c r="BD279" s="350"/>
      <c r="BE279" s="350"/>
      <c r="BF279" s="350"/>
      <c r="BG279" s="350"/>
      <c r="BH279" s="350"/>
      <c r="BI279" s="350"/>
      <c r="BJ279" s="350"/>
      <c r="BK279" s="350"/>
      <c r="BL279" s="646"/>
      <c r="BM279" s="646"/>
      <c r="BN279" s="646"/>
      <c r="BO279" s="646"/>
      <c r="BP279" s="646"/>
      <c r="BQ279" s="646"/>
      <c r="BR279" s="646"/>
      <c r="BS279" s="646"/>
      <c r="BT279" s="646"/>
      <c r="BU279" s="646"/>
      <c r="BV279" s="646"/>
      <c r="BW279" s="646"/>
      <c r="BX279" s="646"/>
      <c r="BY279" s="646"/>
    </row>
    <row r="280">
      <c r="A280" s="716" t="s">
        <v>969</v>
      </c>
      <c r="B280" s="7"/>
      <c r="C280" s="7"/>
      <c r="D280" s="7"/>
      <c r="E280" s="7"/>
      <c r="F280" s="5"/>
      <c r="G280" s="716" t="s">
        <v>1007</v>
      </c>
      <c r="H280" s="7"/>
      <c r="I280" s="7"/>
      <c r="J280" s="7"/>
      <c r="K280" s="7"/>
      <c r="L280" s="7"/>
      <c r="M280" s="7"/>
      <c r="N280" s="7"/>
      <c r="O280" s="5"/>
      <c r="P280" s="714"/>
      <c r="Q280" s="732"/>
      <c r="R280" s="714"/>
      <c r="S280" s="710"/>
      <c r="T280" s="708"/>
      <c r="U280" s="708"/>
      <c r="V280" s="714"/>
      <c r="W280" s="714"/>
      <c r="X280" s="732"/>
      <c r="Y280" s="714"/>
      <c r="Z280" s="714"/>
      <c r="AA280" s="710"/>
      <c r="AB280" s="708"/>
      <c r="AC280" s="710"/>
      <c r="AD280" s="714"/>
      <c r="AE280" s="714"/>
      <c r="AF280" s="732"/>
      <c r="AG280" s="710"/>
      <c r="AH280" s="710"/>
      <c r="AI280" s="710"/>
      <c r="AJ280" s="734"/>
      <c r="AK280" s="7"/>
      <c r="AL280" s="7"/>
      <c r="AM280" s="7"/>
      <c r="AN280" s="7"/>
      <c r="AO280" s="5"/>
      <c r="AP280" s="733">
        <v>8.0</v>
      </c>
      <c r="AQ280" s="733">
        <v>10.0</v>
      </c>
      <c r="AR280" s="350"/>
      <c r="AS280" s="350"/>
      <c r="AT280" s="350"/>
      <c r="AU280" s="350"/>
      <c r="AV280" s="350"/>
      <c r="AW280" s="350"/>
      <c r="AX280" s="350"/>
      <c r="AY280" s="350"/>
      <c r="AZ280" s="350"/>
      <c r="BA280" s="350"/>
      <c r="BB280" s="350"/>
      <c r="BC280" s="350"/>
      <c r="BD280" s="350"/>
      <c r="BE280" s="350"/>
      <c r="BF280" s="350"/>
      <c r="BG280" s="350"/>
      <c r="BH280" s="350"/>
      <c r="BI280" s="350"/>
      <c r="BJ280" s="350"/>
      <c r="BK280" s="350"/>
      <c r="BL280" s="646"/>
      <c r="BM280" s="646"/>
      <c r="BN280" s="646"/>
      <c r="BO280" s="646"/>
      <c r="BP280" s="646"/>
      <c r="BQ280" s="646"/>
      <c r="BR280" s="646"/>
      <c r="BS280" s="646"/>
      <c r="BT280" s="646"/>
      <c r="BU280" s="646"/>
      <c r="BV280" s="646"/>
      <c r="BW280" s="646"/>
      <c r="BX280" s="646"/>
      <c r="BY280" s="646"/>
    </row>
    <row r="281">
      <c r="A281" s="716" t="s">
        <v>969</v>
      </c>
      <c r="B281" s="7"/>
      <c r="C281" s="7"/>
      <c r="D281" s="7"/>
      <c r="E281" s="7"/>
      <c r="F281" s="5"/>
      <c r="G281" s="716" t="s">
        <v>1008</v>
      </c>
      <c r="H281" s="7"/>
      <c r="I281" s="7"/>
      <c r="J281" s="7"/>
      <c r="K281" s="7"/>
      <c r="L281" s="7"/>
      <c r="M281" s="7"/>
      <c r="N281" s="7"/>
      <c r="O281" s="5"/>
      <c r="P281" s="714"/>
      <c r="Q281" s="732"/>
      <c r="R281" s="714"/>
      <c r="S281" s="710"/>
      <c r="T281" s="708"/>
      <c r="U281" s="708"/>
      <c r="V281" s="714"/>
      <c r="W281" s="714"/>
      <c r="X281" s="732"/>
      <c r="Y281" s="714"/>
      <c r="Z281" s="714"/>
      <c r="AA281" s="710"/>
      <c r="AB281" s="708"/>
      <c r="AC281" s="710"/>
      <c r="AD281" s="714"/>
      <c r="AE281" s="714"/>
      <c r="AF281" s="732"/>
      <c r="AG281" s="710"/>
      <c r="AH281" s="710"/>
      <c r="AI281" s="710"/>
      <c r="AJ281" s="734"/>
      <c r="AK281" s="7"/>
      <c r="AL281" s="7"/>
      <c r="AM281" s="7"/>
      <c r="AN281" s="7"/>
      <c r="AO281" s="5"/>
      <c r="AP281" s="733">
        <v>8.0</v>
      </c>
      <c r="AQ281" s="733">
        <v>10.0</v>
      </c>
      <c r="AR281" s="350"/>
      <c r="AS281" s="350"/>
      <c r="AT281" s="350"/>
      <c r="AU281" s="350"/>
      <c r="AV281" s="350"/>
      <c r="AW281" s="350"/>
      <c r="AX281" s="350"/>
      <c r="AY281" s="350"/>
      <c r="AZ281" s="350"/>
      <c r="BA281" s="350"/>
      <c r="BB281" s="350"/>
      <c r="BC281" s="350"/>
      <c r="BD281" s="350"/>
      <c r="BE281" s="350"/>
      <c r="BF281" s="350"/>
      <c r="BG281" s="350"/>
      <c r="BH281" s="350"/>
      <c r="BI281" s="350"/>
      <c r="BJ281" s="350"/>
      <c r="BK281" s="350"/>
      <c r="BL281" s="646"/>
      <c r="BM281" s="646"/>
      <c r="BN281" s="646"/>
      <c r="BO281" s="646"/>
      <c r="BP281" s="646"/>
      <c r="BQ281" s="646"/>
      <c r="BR281" s="646"/>
      <c r="BS281" s="646"/>
      <c r="BT281" s="646"/>
      <c r="BU281" s="646"/>
      <c r="BV281" s="646"/>
      <c r="BW281" s="646"/>
      <c r="BX281" s="646"/>
      <c r="BY281" s="646"/>
    </row>
    <row r="282">
      <c r="A282" s="707" t="s">
        <v>970</v>
      </c>
      <c r="B282" s="7"/>
      <c r="C282" s="7"/>
      <c r="D282" s="7"/>
      <c r="E282" s="7"/>
      <c r="F282" s="5"/>
      <c r="G282" s="716" t="s">
        <v>1009</v>
      </c>
      <c r="H282" s="7"/>
      <c r="I282" s="7"/>
      <c r="J282" s="7"/>
      <c r="K282" s="7"/>
      <c r="L282" s="7"/>
      <c r="M282" s="7"/>
      <c r="N282" s="7"/>
      <c r="O282" s="5"/>
      <c r="P282" s="714"/>
      <c r="Q282" s="732"/>
      <c r="R282" s="714"/>
      <c r="S282" s="710"/>
      <c r="T282" s="710"/>
      <c r="U282" s="708"/>
      <c r="V282" s="714"/>
      <c r="W282" s="714"/>
      <c r="X282" s="714"/>
      <c r="Y282" s="732"/>
      <c r="Z282" s="714"/>
      <c r="AA282" s="710"/>
      <c r="AB282" s="710"/>
      <c r="AC282" s="708"/>
      <c r="AD282" s="714"/>
      <c r="AE282" s="714"/>
      <c r="AF282" s="714"/>
      <c r="AG282" s="713"/>
      <c r="AH282" s="710"/>
      <c r="AI282" s="710"/>
      <c r="AJ282" s="734"/>
      <c r="AK282" s="7"/>
      <c r="AL282" s="7"/>
      <c r="AM282" s="7"/>
      <c r="AN282" s="7"/>
      <c r="AO282" s="5"/>
      <c r="AP282" s="739">
        <v>6.0</v>
      </c>
      <c r="AQ282" s="739">
        <v>12.0</v>
      </c>
      <c r="AR282" s="350"/>
      <c r="AS282" s="350"/>
      <c r="AT282" s="350"/>
      <c r="AU282" s="350"/>
      <c r="AV282" s="350"/>
      <c r="AW282" s="350"/>
      <c r="AX282" s="350"/>
      <c r="AY282" s="350"/>
      <c r="AZ282" s="350"/>
      <c r="BA282" s="350"/>
      <c r="BB282" s="350"/>
      <c r="BC282" s="350"/>
      <c r="BD282" s="350"/>
      <c r="BE282" s="350"/>
      <c r="BF282" s="350"/>
      <c r="BG282" s="350"/>
      <c r="BH282" s="350"/>
      <c r="BI282" s="350"/>
      <c r="BJ282" s="350"/>
      <c r="BK282" s="350"/>
      <c r="BL282" s="646"/>
      <c r="BM282" s="646"/>
      <c r="BN282" s="646"/>
      <c r="BO282" s="646"/>
      <c r="BP282" s="646"/>
      <c r="BQ282" s="646"/>
      <c r="BR282" s="646"/>
      <c r="BS282" s="646"/>
      <c r="BT282" s="646"/>
      <c r="BU282" s="646"/>
      <c r="BV282" s="646"/>
      <c r="BW282" s="646"/>
      <c r="BX282" s="646"/>
      <c r="BY282" s="646"/>
    </row>
    <row r="283">
      <c r="A283" s="707" t="s">
        <v>970</v>
      </c>
      <c r="B283" s="7"/>
      <c r="C283" s="7"/>
      <c r="D283" s="7"/>
      <c r="E283" s="7"/>
      <c r="F283" s="5"/>
      <c r="G283" s="707" t="s">
        <v>1010</v>
      </c>
      <c r="H283" s="7"/>
      <c r="I283" s="7"/>
      <c r="J283" s="7"/>
      <c r="K283" s="7"/>
      <c r="L283" s="7"/>
      <c r="M283" s="7"/>
      <c r="N283" s="7"/>
      <c r="O283" s="5"/>
      <c r="P283" s="714"/>
      <c r="Q283" s="732"/>
      <c r="R283" s="714"/>
      <c r="S283" s="710"/>
      <c r="T283" s="710"/>
      <c r="U283" s="708"/>
      <c r="V283" s="714"/>
      <c r="W283" s="714"/>
      <c r="X283" s="714"/>
      <c r="Y283" s="732"/>
      <c r="Z283" s="714"/>
      <c r="AA283" s="710"/>
      <c r="AB283" s="710"/>
      <c r="AC283" s="708"/>
      <c r="AD283" s="714"/>
      <c r="AE283" s="714"/>
      <c r="AF283" s="714"/>
      <c r="AG283" s="713"/>
      <c r="AH283" s="710"/>
      <c r="AI283" s="710"/>
      <c r="AJ283" s="734"/>
      <c r="AK283" s="7"/>
      <c r="AL283" s="7"/>
      <c r="AM283" s="7"/>
      <c r="AN283" s="7"/>
      <c r="AO283" s="5"/>
      <c r="AP283" s="739">
        <v>6.0</v>
      </c>
      <c r="AQ283" s="739">
        <v>12.0</v>
      </c>
      <c r="AR283" s="350"/>
      <c r="AS283" s="350"/>
      <c r="AT283" s="350"/>
      <c r="AU283" s="350"/>
      <c r="AV283" s="350"/>
      <c r="AW283" s="350"/>
      <c r="AX283" s="350"/>
      <c r="AY283" s="350"/>
      <c r="AZ283" s="350"/>
      <c r="BA283" s="350"/>
      <c r="BB283" s="350"/>
      <c r="BC283" s="350"/>
      <c r="BD283" s="350"/>
      <c r="BE283" s="350"/>
      <c r="BF283" s="350"/>
      <c r="BG283" s="350"/>
      <c r="BH283" s="350"/>
      <c r="BI283" s="350"/>
      <c r="BJ283" s="350"/>
      <c r="BK283" s="350"/>
      <c r="BL283" s="646"/>
      <c r="BM283" s="646"/>
      <c r="BN283" s="646"/>
      <c r="BO283" s="646"/>
      <c r="BP283" s="646"/>
      <c r="BQ283" s="646"/>
      <c r="BR283" s="646"/>
      <c r="BS283" s="646"/>
      <c r="BT283" s="646"/>
      <c r="BU283" s="646"/>
      <c r="BV283" s="646"/>
      <c r="BW283" s="646"/>
      <c r="BX283" s="646"/>
      <c r="BY283" s="646"/>
    </row>
    <row r="284">
      <c r="A284" s="707" t="s">
        <v>970</v>
      </c>
      <c r="B284" s="7"/>
      <c r="C284" s="7"/>
      <c r="D284" s="7"/>
      <c r="E284" s="7"/>
      <c r="F284" s="5"/>
      <c r="G284" s="716" t="s">
        <v>1011</v>
      </c>
      <c r="H284" s="7"/>
      <c r="I284" s="7"/>
      <c r="J284" s="7"/>
      <c r="K284" s="7"/>
      <c r="L284" s="7"/>
      <c r="M284" s="7"/>
      <c r="N284" s="7"/>
      <c r="O284" s="5"/>
      <c r="P284" s="714"/>
      <c r="Q284" s="732"/>
      <c r="R284" s="714"/>
      <c r="S284" s="710"/>
      <c r="T284" s="710"/>
      <c r="U284" s="708"/>
      <c r="V284" s="714"/>
      <c r="W284" s="714"/>
      <c r="X284" s="714"/>
      <c r="Y284" s="732"/>
      <c r="Z284" s="714"/>
      <c r="AA284" s="710"/>
      <c r="AB284" s="710"/>
      <c r="AC284" s="708"/>
      <c r="AD284" s="714"/>
      <c r="AE284" s="714"/>
      <c r="AF284" s="714"/>
      <c r="AG284" s="713"/>
      <c r="AH284" s="710"/>
      <c r="AI284" s="710"/>
      <c r="AJ284" s="734"/>
      <c r="AK284" s="7"/>
      <c r="AL284" s="7"/>
      <c r="AM284" s="7"/>
      <c r="AN284" s="7"/>
      <c r="AO284" s="5"/>
      <c r="AP284" s="739">
        <v>6.0</v>
      </c>
      <c r="AQ284" s="739">
        <v>12.0</v>
      </c>
      <c r="AR284" s="350"/>
      <c r="AS284" s="350"/>
      <c r="AT284" s="350"/>
      <c r="AU284" s="350"/>
      <c r="AV284" s="350"/>
      <c r="AW284" s="350"/>
      <c r="AX284" s="350"/>
      <c r="AY284" s="350"/>
      <c r="AZ284" s="350"/>
      <c r="BA284" s="350"/>
      <c r="BB284" s="350"/>
      <c r="BC284" s="350"/>
      <c r="BD284" s="350"/>
      <c r="BE284" s="350"/>
      <c r="BF284" s="350"/>
      <c r="BG284" s="350"/>
      <c r="BH284" s="350"/>
      <c r="BI284" s="350"/>
      <c r="BJ284" s="350"/>
      <c r="BK284" s="350"/>
      <c r="BL284" s="646"/>
      <c r="BM284" s="646"/>
      <c r="BN284" s="646"/>
      <c r="BO284" s="646"/>
      <c r="BP284" s="646"/>
      <c r="BQ284" s="646"/>
      <c r="BR284" s="646"/>
      <c r="BS284" s="646"/>
      <c r="BT284" s="646"/>
      <c r="BU284" s="646"/>
      <c r="BV284" s="646"/>
      <c r="BW284" s="646"/>
      <c r="BX284" s="646"/>
      <c r="BY284" s="646"/>
    </row>
    <row r="285">
      <c r="A285" s="707" t="s">
        <v>970</v>
      </c>
      <c r="B285" s="7"/>
      <c r="C285" s="7"/>
      <c r="D285" s="7"/>
      <c r="E285" s="7"/>
      <c r="F285" s="5"/>
      <c r="G285" s="707" t="s">
        <v>1012</v>
      </c>
      <c r="H285" s="7"/>
      <c r="I285" s="7"/>
      <c r="J285" s="7"/>
      <c r="K285" s="7"/>
      <c r="L285" s="7"/>
      <c r="M285" s="7"/>
      <c r="N285" s="7"/>
      <c r="O285" s="5"/>
      <c r="P285" s="714"/>
      <c r="Q285" s="732"/>
      <c r="R285" s="714"/>
      <c r="S285" s="710"/>
      <c r="T285" s="710"/>
      <c r="U285" s="708"/>
      <c r="V285" s="714"/>
      <c r="W285" s="714"/>
      <c r="X285" s="714"/>
      <c r="Y285" s="732"/>
      <c r="Z285" s="714"/>
      <c r="AA285" s="710"/>
      <c r="AB285" s="710"/>
      <c r="AC285" s="708"/>
      <c r="AD285" s="714"/>
      <c r="AE285" s="714"/>
      <c r="AF285" s="714"/>
      <c r="AG285" s="713"/>
      <c r="AH285" s="710"/>
      <c r="AI285" s="710"/>
      <c r="AJ285" s="734"/>
      <c r="AK285" s="7"/>
      <c r="AL285" s="7"/>
      <c r="AM285" s="7"/>
      <c r="AN285" s="7"/>
      <c r="AO285" s="5"/>
      <c r="AP285" s="739">
        <v>6.0</v>
      </c>
      <c r="AQ285" s="739">
        <v>12.0</v>
      </c>
      <c r="AR285" s="350"/>
      <c r="AS285" s="350"/>
      <c r="AT285" s="350"/>
      <c r="AU285" s="350"/>
      <c r="AV285" s="350"/>
      <c r="AW285" s="350"/>
      <c r="AX285" s="350"/>
      <c r="AY285" s="350"/>
      <c r="AZ285" s="350"/>
      <c r="BA285" s="350"/>
      <c r="BB285" s="350"/>
      <c r="BC285" s="350"/>
      <c r="BD285" s="350"/>
      <c r="BE285" s="350"/>
      <c r="BF285" s="350"/>
      <c r="BG285" s="350"/>
      <c r="BH285" s="350"/>
      <c r="BI285" s="350"/>
      <c r="BJ285" s="350"/>
      <c r="BK285" s="350"/>
      <c r="BL285" s="646"/>
      <c r="BM285" s="646"/>
      <c r="BN285" s="646"/>
      <c r="BO285" s="646"/>
      <c r="BP285" s="646"/>
      <c r="BQ285" s="646"/>
      <c r="BR285" s="646"/>
      <c r="BS285" s="646"/>
      <c r="BT285" s="646"/>
      <c r="BU285" s="646"/>
      <c r="BV285" s="646"/>
      <c r="BW285" s="646"/>
      <c r="BX285" s="646"/>
      <c r="BY285" s="646"/>
    </row>
    <row r="286">
      <c r="A286" s="707" t="s">
        <v>970</v>
      </c>
      <c r="B286" s="7"/>
      <c r="C286" s="7"/>
      <c r="D286" s="7"/>
      <c r="E286" s="7"/>
      <c r="F286" s="5"/>
      <c r="G286" s="707" t="s">
        <v>1013</v>
      </c>
      <c r="H286" s="7"/>
      <c r="I286" s="7"/>
      <c r="J286" s="7"/>
      <c r="K286" s="7"/>
      <c r="L286" s="7"/>
      <c r="M286" s="7"/>
      <c r="N286" s="7"/>
      <c r="O286" s="5"/>
      <c r="P286" s="714"/>
      <c r="Q286" s="732"/>
      <c r="R286" s="714"/>
      <c r="S286" s="710"/>
      <c r="T286" s="710"/>
      <c r="U286" s="708"/>
      <c r="V286" s="714"/>
      <c r="W286" s="714"/>
      <c r="X286" s="714"/>
      <c r="Y286" s="732"/>
      <c r="Z286" s="714"/>
      <c r="AA286" s="710"/>
      <c r="AB286" s="710"/>
      <c r="AC286" s="708"/>
      <c r="AD286" s="714"/>
      <c r="AE286" s="714"/>
      <c r="AF286" s="714"/>
      <c r="AG286" s="713"/>
      <c r="AH286" s="710"/>
      <c r="AI286" s="710"/>
      <c r="AJ286" s="734"/>
      <c r="AK286" s="7"/>
      <c r="AL286" s="7"/>
      <c r="AM286" s="7"/>
      <c r="AN286" s="7"/>
      <c r="AO286" s="5"/>
      <c r="AP286" s="739">
        <v>6.0</v>
      </c>
      <c r="AQ286" s="739">
        <v>12.0</v>
      </c>
      <c r="AR286" s="350"/>
      <c r="AS286" s="350"/>
      <c r="AT286" s="350"/>
      <c r="AU286" s="350"/>
      <c r="AV286" s="350"/>
      <c r="AW286" s="350"/>
      <c r="AX286" s="350"/>
      <c r="AY286" s="350"/>
      <c r="AZ286" s="350"/>
      <c r="BA286" s="350"/>
      <c r="BB286" s="350"/>
      <c r="BC286" s="350"/>
      <c r="BD286" s="350"/>
      <c r="BE286" s="350"/>
      <c r="BF286" s="350"/>
      <c r="BG286" s="350"/>
      <c r="BH286" s="350"/>
      <c r="BI286" s="350"/>
      <c r="BJ286" s="350"/>
      <c r="BK286" s="350"/>
      <c r="BL286" s="646"/>
      <c r="BM286" s="646"/>
      <c r="BN286" s="646"/>
      <c r="BO286" s="646"/>
      <c r="BP286" s="646"/>
      <c r="BQ286" s="646"/>
      <c r="BR286" s="646"/>
      <c r="BS286" s="646"/>
      <c r="BT286" s="646"/>
      <c r="BU286" s="646"/>
      <c r="BV286" s="646"/>
      <c r="BW286" s="646"/>
      <c r="BX286" s="646"/>
      <c r="BY286" s="646"/>
    </row>
    <row r="287">
      <c r="A287" s="707" t="s">
        <v>970</v>
      </c>
      <c r="B287" s="7"/>
      <c r="C287" s="7"/>
      <c r="D287" s="7"/>
      <c r="E287" s="7"/>
      <c r="F287" s="5"/>
      <c r="G287" s="707" t="s">
        <v>1014</v>
      </c>
      <c r="H287" s="7"/>
      <c r="I287" s="7"/>
      <c r="J287" s="7"/>
      <c r="K287" s="7"/>
      <c r="L287" s="7"/>
      <c r="M287" s="7"/>
      <c r="N287" s="7"/>
      <c r="O287" s="5"/>
      <c r="P287" s="714"/>
      <c r="Q287" s="732"/>
      <c r="R287" s="714"/>
      <c r="S287" s="710"/>
      <c r="T287" s="710"/>
      <c r="U287" s="708"/>
      <c r="V287" s="714"/>
      <c r="W287" s="714"/>
      <c r="X287" s="714"/>
      <c r="Y287" s="732"/>
      <c r="Z287" s="714"/>
      <c r="AA287" s="710"/>
      <c r="AB287" s="710"/>
      <c r="AC287" s="708"/>
      <c r="AD287" s="714"/>
      <c r="AE287" s="714"/>
      <c r="AF287" s="714"/>
      <c r="AG287" s="713"/>
      <c r="AH287" s="710"/>
      <c r="AI287" s="710"/>
      <c r="AJ287" s="734"/>
      <c r="AK287" s="7"/>
      <c r="AL287" s="7"/>
      <c r="AM287" s="7"/>
      <c r="AN287" s="7"/>
      <c r="AO287" s="5"/>
      <c r="AP287" s="739">
        <v>6.0</v>
      </c>
      <c r="AQ287" s="739">
        <v>12.0</v>
      </c>
      <c r="AR287" s="350"/>
      <c r="AS287" s="350"/>
      <c r="AT287" s="350"/>
      <c r="AU287" s="350"/>
      <c r="AV287" s="350"/>
      <c r="AW287" s="350"/>
      <c r="AX287" s="350"/>
      <c r="AY287" s="350"/>
      <c r="AZ287" s="350"/>
      <c r="BA287" s="350"/>
      <c r="BB287" s="350"/>
      <c r="BC287" s="350"/>
      <c r="BD287" s="350"/>
      <c r="BE287" s="350"/>
      <c r="BF287" s="350"/>
      <c r="BG287" s="350"/>
      <c r="BH287" s="350"/>
      <c r="BI287" s="350"/>
      <c r="BJ287" s="350"/>
      <c r="BK287" s="350"/>
      <c r="BL287" s="646"/>
      <c r="BM287" s="646"/>
      <c r="BN287" s="646"/>
      <c r="BO287" s="646"/>
      <c r="BP287" s="646"/>
      <c r="BQ287" s="646"/>
      <c r="BR287" s="646"/>
      <c r="BS287" s="646"/>
      <c r="BT287" s="646"/>
      <c r="BU287" s="646"/>
      <c r="BV287" s="646"/>
      <c r="BW287" s="646"/>
      <c r="BX287" s="646"/>
      <c r="BY287" s="646"/>
    </row>
    <row r="288">
      <c r="A288" s="707" t="s">
        <v>970</v>
      </c>
      <c r="B288" s="7"/>
      <c r="C288" s="7"/>
      <c r="D288" s="7"/>
      <c r="E288" s="7"/>
      <c r="F288" s="5"/>
      <c r="G288" s="707" t="s">
        <v>1015</v>
      </c>
      <c r="H288" s="7"/>
      <c r="I288" s="7"/>
      <c r="J288" s="7"/>
      <c r="K288" s="7"/>
      <c r="L288" s="7"/>
      <c r="M288" s="7"/>
      <c r="N288" s="7"/>
      <c r="O288" s="5"/>
      <c r="P288" s="714"/>
      <c r="Q288" s="732"/>
      <c r="R288" s="714"/>
      <c r="S288" s="710"/>
      <c r="T288" s="710"/>
      <c r="U288" s="708"/>
      <c r="V288" s="714"/>
      <c r="W288" s="714"/>
      <c r="X288" s="714"/>
      <c r="Y288" s="732"/>
      <c r="Z288" s="714"/>
      <c r="AA288" s="710"/>
      <c r="AB288" s="710"/>
      <c r="AC288" s="708"/>
      <c r="AD288" s="714"/>
      <c r="AE288" s="714"/>
      <c r="AF288" s="714"/>
      <c r="AG288" s="713"/>
      <c r="AH288" s="710"/>
      <c r="AI288" s="710"/>
      <c r="AJ288" s="734"/>
      <c r="AK288" s="7"/>
      <c r="AL288" s="7"/>
      <c r="AM288" s="7"/>
      <c r="AN288" s="7"/>
      <c r="AO288" s="5"/>
      <c r="AP288" s="739">
        <v>6.0</v>
      </c>
      <c r="AQ288" s="739">
        <v>12.0</v>
      </c>
      <c r="AR288" s="350"/>
      <c r="AS288" s="350"/>
      <c r="AT288" s="350"/>
      <c r="AU288" s="350"/>
      <c r="AV288" s="350"/>
      <c r="AW288" s="350"/>
      <c r="AX288" s="350"/>
      <c r="AY288" s="350"/>
      <c r="AZ288" s="350"/>
      <c r="BA288" s="350"/>
      <c r="BB288" s="350"/>
      <c r="BC288" s="350"/>
      <c r="BD288" s="350"/>
      <c r="BE288" s="350"/>
      <c r="BF288" s="350"/>
      <c r="BG288" s="350"/>
      <c r="BH288" s="350"/>
      <c r="BI288" s="350"/>
      <c r="BJ288" s="350"/>
      <c r="BK288" s="350"/>
      <c r="BL288" s="646"/>
      <c r="BM288" s="646"/>
      <c r="BN288" s="646"/>
      <c r="BO288" s="646"/>
      <c r="BP288" s="646"/>
      <c r="BQ288" s="646"/>
      <c r="BR288" s="646"/>
      <c r="BS288" s="646"/>
      <c r="BT288" s="646"/>
      <c r="BU288" s="646"/>
      <c r="BV288" s="646"/>
      <c r="BW288" s="646"/>
      <c r="BX288" s="646"/>
      <c r="BY288" s="646"/>
    </row>
    <row r="289">
      <c r="A289" s="707" t="s">
        <v>970</v>
      </c>
      <c r="B289" s="7"/>
      <c r="C289" s="7"/>
      <c r="D289" s="7"/>
      <c r="E289" s="7"/>
      <c r="F289" s="5"/>
      <c r="G289" s="716" t="s">
        <v>1016</v>
      </c>
      <c r="H289" s="7"/>
      <c r="I289" s="7"/>
      <c r="J289" s="7"/>
      <c r="K289" s="7"/>
      <c r="L289" s="7"/>
      <c r="M289" s="7"/>
      <c r="N289" s="7"/>
      <c r="O289" s="5"/>
      <c r="P289" s="714"/>
      <c r="Q289" s="732"/>
      <c r="R289" s="714"/>
      <c r="S289" s="710"/>
      <c r="T289" s="710"/>
      <c r="U289" s="708"/>
      <c r="V289" s="714"/>
      <c r="W289" s="714"/>
      <c r="X289" s="714"/>
      <c r="Y289" s="732"/>
      <c r="Z289" s="714"/>
      <c r="AA289" s="710"/>
      <c r="AB289" s="710"/>
      <c r="AC289" s="708"/>
      <c r="AD289" s="714"/>
      <c r="AE289" s="714"/>
      <c r="AF289" s="714"/>
      <c r="AG289" s="713"/>
      <c r="AH289" s="710"/>
      <c r="AI289" s="710"/>
      <c r="AJ289" s="734"/>
      <c r="AK289" s="7"/>
      <c r="AL289" s="7"/>
      <c r="AM289" s="7"/>
      <c r="AN289" s="7"/>
      <c r="AO289" s="5"/>
      <c r="AP289" s="739">
        <v>6.0</v>
      </c>
      <c r="AQ289" s="739">
        <v>12.0</v>
      </c>
      <c r="AR289" s="350"/>
      <c r="AS289" s="350"/>
      <c r="AT289" s="350"/>
      <c r="AU289" s="350"/>
      <c r="AV289" s="350"/>
      <c r="AW289" s="350"/>
      <c r="AX289" s="350"/>
      <c r="AY289" s="350"/>
      <c r="AZ289" s="350"/>
      <c r="BA289" s="350"/>
      <c r="BB289" s="350"/>
      <c r="BC289" s="350"/>
      <c r="BD289" s="350"/>
      <c r="BE289" s="350"/>
      <c r="BF289" s="350"/>
      <c r="BG289" s="350"/>
      <c r="BH289" s="350"/>
      <c r="BI289" s="350"/>
      <c r="BJ289" s="350"/>
      <c r="BK289" s="350"/>
      <c r="BL289" s="646"/>
      <c r="BM289" s="646"/>
      <c r="BN289" s="646"/>
      <c r="BO289" s="646"/>
      <c r="BP289" s="646"/>
      <c r="BQ289" s="646"/>
      <c r="BR289" s="646"/>
      <c r="BS289" s="646"/>
      <c r="BT289" s="646"/>
      <c r="BU289" s="646"/>
      <c r="BV289" s="646"/>
      <c r="BW289" s="646"/>
      <c r="BX289" s="646"/>
      <c r="BY289" s="646"/>
    </row>
    <row r="290">
      <c r="A290" s="707" t="s">
        <v>970</v>
      </c>
      <c r="B290" s="7"/>
      <c r="C290" s="7"/>
      <c r="D290" s="7"/>
      <c r="E290" s="7"/>
      <c r="F290" s="5"/>
      <c r="G290" s="716" t="s">
        <v>1017</v>
      </c>
      <c r="H290" s="7"/>
      <c r="I290" s="7"/>
      <c r="J290" s="7"/>
      <c r="K290" s="7"/>
      <c r="L290" s="7"/>
      <c r="M290" s="7"/>
      <c r="N290" s="7"/>
      <c r="O290" s="5"/>
      <c r="P290" s="714"/>
      <c r="Q290" s="732"/>
      <c r="R290" s="714"/>
      <c r="S290" s="710"/>
      <c r="T290" s="710"/>
      <c r="U290" s="708"/>
      <c r="V290" s="714"/>
      <c r="W290" s="714"/>
      <c r="X290" s="714"/>
      <c r="Y290" s="732"/>
      <c r="Z290" s="714"/>
      <c r="AA290" s="710"/>
      <c r="AB290" s="710"/>
      <c r="AC290" s="708"/>
      <c r="AD290" s="714"/>
      <c r="AE290" s="714"/>
      <c r="AF290" s="714"/>
      <c r="AG290" s="713"/>
      <c r="AH290" s="710"/>
      <c r="AI290" s="710"/>
      <c r="AJ290" s="734"/>
      <c r="AK290" s="7"/>
      <c r="AL290" s="7"/>
      <c r="AM290" s="7"/>
      <c r="AN290" s="7"/>
      <c r="AO290" s="5"/>
      <c r="AP290" s="739">
        <v>6.0</v>
      </c>
      <c r="AQ290" s="739">
        <v>12.0</v>
      </c>
      <c r="AR290" s="350"/>
      <c r="AS290" s="350"/>
      <c r="AT290" s="350"/>
      <c r="AU290" s="350"/>
      <c r="AV290" s="350"/>
      <c r="AW290" s="350"/>
      <c r="AX290" s="350"/>
      <c r="AY290" s="350"/>
      <c r="AZ290" s="350"/>
      <c r="BA290" s="350"/>
      <c r="BB290" s="350"/>
      <c r="BC290" s="350"/>
      <c r="BD290" s="350"/>
      <c r="BE290" s="350"/>
      <c r="BF290" s="350"/>
      <c r="BG290" s="350"/>
      <c r="BH290" s="350"/>
      <c r="BI290" s="350"/>
      <c r="BJ290" s="350"/>
      <c r="BK290" s="350"/>
      <c r="BL290" s="646"/>
      <c r="BM290" s="646"/>
      <c r="BN290" s="646"/>
      <c r="BO290" s="646"/>
      <c r="BP290" s="646"/>
      <c r="BQ290" s="646"/>
      <c r="BR290" s="646"/>
      <c r="BS290" s="646"/>
      <c r="BT290" s="646"/>
      <c r="BU290" s="646"/>
      <c r="BV290" s="646"/>
      <c r="BW290" s="646"/>
      <c r="BX290" s="646"/>
      <c r="BY290" s="646"/>
    </row>
    <row r="291">
      <c r="A291" s="707" t="s">
        <v>970</v>
      </c>
      <c r="B291" s="7"/>
      <c r="C291" s="7"/>
      <c r="D291" s="7"/>
      <c r="E291" s="7"/>
      <c r="F291" s="5"/>
      <c r="G291" s="707" t="s">
        <v>1018</v>
      </c>
      <c r="H291" s="7"/>
      <c r="I291" s="7"/>
      <c r="J291" s="7"/>
      <c r="K291" s="7"/>
      <c r="L291" s="7"/>
      <c r="M291" s="7"/>
      <c r="N291" s="7"/>
      <c r="O291" s="5"/>
      <c r="P291" s="714"/>
      <c r="Q291" s="732"/>
      <c r="R291" s="714"/>
      <c r="S291" s="710"/>
      <c r="T291" s="710"/>
      <c r="U291" s="708"/>
      <c r="V291" s="714"/>
      <c r="W291" s="714"/>
      <c r="X291" s="714"/>
      <c r="Y291" s="732"/>
      <c r="Z291" s="714"/>
      <c r="AA291" s="710"/>
      <c r="AB291" s="710"/>
      <c r="AC291" s="708"/>
      <c r="AD291" s="714"/>
      <c r="AE291" s="714"/>
      <c r="AF291" s="714"/>
      <c r="AG291" s="713"/>
      <c r="AH291" s="710"/>
      <c r="AI291" s="710"/>
      <c r="AJ291" s="734"/>
      <c r="AK291" s="7"/>
      <c r="AL291" s="7"/>
      <c r="AM291" s="7"/>
      <c r="AN291" s="7"/>
      <c r="AO291" s="5"/>
      <c r="AP291" s="739">
        <v>6.0</v>
      </c>
      <c r="AQ291" s="739">
        <v>12.0</v>
      </c>
      <c r="AR291" s="350"/>
      <c r="AS291" s="350"/>
      <c r="AT291" s="350"/>
      <c r="AU291" s="350"/>
      <c r="AV291" s="350"/>
      <c r="AW291" s="350"/>
      <c r="AX291" s="350"/>
      <c r="AY291" s="350"/>
      <c r="AZ291" s="350"/>
      <c r="BA291" s="350"/>
      <c r="BB291" s="350"/>
      <c r="BC291" s="350"/>
      <c r="BD291" s="350"/>
      <c r="BE291" s="350"/>
      <c r="BF291" s="350"/>
      <c r="BG291" s="350"/>
      <c r="BH291" s="350"/>
      <c r="BI291" s="350"/>
      <c r="BJ291" s="350"/>
      <c r="BK291" s="350"/>
      <c r="BL291" s="646"/>
      <c r="BM291" s="646"/>
      <c r="BN291" s="646"/>
      <c r="BO291" s="646"/>
      <c r="BP291" s="646"/>
      <c r="BQ291" s="646"/>
      <c r="BR291" s="646"/>
      <c r="BS291" s="646"/>
      <c r="BT291" s="646"/>
      <c r="BU291" s="646"/>
      <c r="BV291" s="646"/>
      <c r="BW291" s="646"/>
      <c r="BX291" s="646"/>
      <c r="BY291" s="646"/>
    </row>
    <row r="292">
      <c r="A292" s="707" t="s">
        <v>970</v>
      </c>
      <c r="B292" s="7"/>
      <c r="C292" s="7"/>
      <c r="D292" s="7"/>
      <c r="E292" s="7"/>
      <c r="F292" s="5"/>
      <c r="G292" s="716" t="s">
        <v>1019</v>
      </c>
      <c r="H292" s="7"/>
      <c r="I292" s="7"/>
      <c r="J292" s="7"/>
      <c r="K292" s="7"/>
      <c r="L292" s="7"/>
      <c r="M292" s="7"/>
      <c r="N292" s="7"/>
      <c r="O292" s="5"/>
      <c r="P292" s="714"/>
      <c r="Q292" s="732"/>
      <c r="R292" s="714"/>
      <c r="S292" s="710"/>
      <c r="T292" s="710"/>
      <c r="U292" s="708"/>
      <c r="V292" s="714"/>
      <c r="W292" s="714"/>
      <c r="X292" s="714"/>
      <c r="Y292" s="732"/>
      <c r="Z292" s="714"/>
      <c r="AA292" s="710"/>
      <c r="AB292" s="710"/>
      <c r="AC292" s="708"/>
      <c r="AD292" s="714"/>
      <c r="AE292" s="714"/>
      <c r="AF292" s="714"/>
      <c r="AG292" s="713"/>
      <c r="AH292" s="710"/>
      <c r="AI292" s="710"/>
      <c r="AJ292" s="734"/>
      <c r="AK292" s="7"/>
      <c r="AL292" s="7"/>
      <c r="AM292" s="7"/>
      <c r="AN292" s="7"/>
      <c r="AO292" s="5"/>
      <c r="AP292" s="739">
        <v>6.0</v>
      </c>
      <c r="AQ292" s="739">
        <v>12.0</v>
      </c>
      <c r="AR292" s="350"/>
      <c r="AS292" s="350"/>
      <c r="AT292" s="350"/>
      <c r="AU292" s="350"/>
      <c r="AV292" s="350"/>
      <c r="AW292" s="350"/>
      <c r="AX292" s="350"/>
      <c r="AY292" s="350"/>
      <c r="AZ292" s="350"/>
      <c r="BA292" s="350"/>
      <c r="BB292" s="350"/>
      <c r="BC292" s="350"/>
      <c r="BD292" s="350"/>
      <c r="BE292" s="350"/>
      <c r="BF292" s="350"/>
      <c r="BG292" s="350"/>
      <c r="BH292" s="350"/>
      <c r="BI292" s="350"/>
      <c r="BJ292" s="350"/>
      <c r="BK292" s="350"/>
      <c r="BL292" s="646"/>
      <c r="BM292" s="646"/>
      <c r="BN292" s="646"/>
      <c r="BO292" s="646"/>
      <c r="BP292" s="646"/>
      <c r="BQ292" s="646"/>
      <c r="BR292" s="646"/>
      <c r="BS292" s="646"/>
      <c r="BT292" s="646"/>
      <c r="BU292" s="646"/>
      <c r="BV292" s="646"/>
      <c r="BW292" s="646"/>
      <c r="BX292" s="646"/>
      <c r="BY292" s="646"/>
    </row>
    <row r="293">
      <c r="A293" s="716" t="s">
        <v>3</v>
      </c>
      <c r="B293" s="7"/>
      <c r="C293" s="7"/>
      <c r="D293" s="7"/>
      <c r="E293" s="7"/>
      <c r="F293" s="5"/>
      <c r="G293" s="716" t="s">
        <v>1020</v>
      </c>
      <c r="H293" s="7"/>
      <c r="I293" s="7"/>
      <c r="J293" s="7"/>
      <c r="K293" s="7"/>
      <c r="L293" s="7"/>
      <c r="M293" s="7"/>
      <c r="N293" s="7"/>
      <c r="O293" s="5"/>
      <c r="P293" s="714"/>
      <c r="Q293" s="714"/>
      <c r="R293" s="746"/>
      <c r="S293" s="710"/>
      <c r="T293" s="710"/>
      <c r="U293" s="708"/>
      <c r="V293" s="714"/>
      <c r="W293" s="714"/>
      <c r="X293" s="732"/>
      <c r="Y293" s="714"/>
      <c r="Z293" s="714"/>
      <c r="AA293" s="710"/>
      <c r="AB293" s="710"/>
      <c r="AC293" s="708"/>
      <c r="AD293" s="714"/>
      <c r="AE293" s="714"/>
      <c r="AF293" s="732"/>
      <c r="AG293" s="710"/>
      <c r="AH293" s="710"/>
      <c r="AI293" s="713"/>
      <c r="AJ293" s="734"/>
      <c r="AK293" s="7"/>
      <c r="AL293" s="7"/>
      <c r="AM293" s="7"/>
      <c r="AN293" s="7"/>
      <c r="AO293" s="5"/>
      <c r="AP293" s="733">
        <v>8.0</v>
      </c>
      <c r="AQ293" s="733">
        <v>10.0</v>
      </c>
      <c r="AR293" s="350"/>
      <c r="AS293" s="350"/>
      <c r="AT293" s="350"/>
      <c r="AU293" s="350"/>
      <c r="AV293" s="350"/>
      <c r="AW293" s="350"/>
      <c r="AX293" s="350"/>
      <c r="AY293" s="350"/>
      <c r="AZ293" s="350"/>
      <c r="BA293" s="350"/>
      <c r="BB293" s="350"/>
      <c r="BC293" s="350"/>
      <c r="BD293" s="350"/>
      <c r="BE293" s="350"/>
      <c r="BF293" s="350"/>
      <c r="BG293" s="350"/>
      <c r="BH293" s="350"/>
      <c r="BI293" s="350"/>
      <c r="BJ293" s="350"/>
      <c r="BK293" s="350"/>
      <c r="BL293" s="646"/>
      <c r="BM293" s="646"/>
      <c r="BN293" s="646"/>
      <c r="BO293" s="646"/>
      <c r="BP293" s="646"/>
      <c r="BQ293" s="646"/>
      <c r="BR293" s="646"/>
      <c r="BS293" s="646"/>
      <c r="BT293" s="646"/>
      <c r="BU293" s="646"/>
      <c r="BV293" s="646"/>
      <c r="BW293" s="646"/>
      <c r="BX293" s="646"/>
      <c r="BY293" s="646"/>
    </row>
    <row r="294">
      <c r="A294" s="716" t="s">
        <v>3</v>
      </c>
      <c r="B294" s="7"/>
      <c r="C294" s="7"/>
      <c r="D294" s="7"/>
      <c r="E294" s="7"/>
      <c r="F294" s="5"/>
      <c r="G294" s="716" t="s">
        <v>1021</v>
      </c>
      <c r="H294" s="7"/>
      <c r="I294" s="7"/>
      <c r="J294" s="7"/>
      <c r="K294" s="7"/>
      <c r="L294" s="7"/>
      <c r="M294" s="7"/>
      <c r="N294" s="7"/>
      <c r="O294" s="5"/>
      <c r="P294" s="714"/>
      <c r="Q294" s="714"/>
      <c r="R294" s="746"/>
      <c r="S294" s="710"/>
      <c r="T294" s="710"/>
      <c r="U294" s="708"/>
      <c r="V294" s="714"/>
      <c r="W294" s="714"/>
      <c r="X294" s="732"/>
      <c r="Y294" s="714"/>
      <c r="Z294" s="714"/>
      <c r="AA294" s="710"/>
      <c r="AB294" s="710"/>
      <c r="AC294" s="708"/>
      <c r="AD294" s="714"/>
      <c r="AE294" s="714"/>
      <c r="AF294" s="732"/>
      <c r="AG294" s="710"/>
      <c r="AH294" s="710"/>
      <c r="AI294" s="713"/>
      <c r="AJ294" s="734"/>
      <c r="AK294" s="7"/>
      <c r="AL294" s="7"/>
      <c r="AM294" s="7"/>
      <c r="AN294" s="7"/>
      <c r="AO294" s="5"/>
      <c r="AP294" s="733">
        <v>8.0</v>
      </c>
      <c r="AQ294" s="733">
        <v>10.0</v>
      </c>
      <c r="AR294" s="350"/>
      <c r="AS294" s="350"/>
      <c r="AT294" s="350"/>
      <c r="AU294" s="350"/>
      <c r="AV294" s="350"/>
      <c r="AW294" s="350"/>
      <c r="AX294" s="350"/>
      <c r="AY294" s="350"/>
      <c r="AZ294" s="350"/>
      <c r="BA294" s="350"/>
      <c r="BB294" s="350"/>
      <c r="BC294" s="350"/>
      <c r="BD294" s="350"/>
      <c r="BE294" s="350"/>
      <c r="BF294" s="350"/>
      <c r="BG294" s="350"/>
      <c r="BH294" s="350"/>
      <c r="BI294" s="350"/>
      <c r="BJ294" s="350"/>
      <c r="BK294" s="350"/>
      <c r="BL294" s="646"/>
      <c r="BM294" s="646"/>
      <c r="BN294" s="646"/>
      <c r="BO294" s="646"/>
      <c r="BP294" s="646"/>
      <c r="BQ294" s="646"/>
      <c r="BR294" s="646"/>
      <c r="BS294" s="646"/>
      <c r="BT294" s="646"/>
      <c r="BU294" s="646"/>
      <c r="BV294" s="646"/>
      <c r="BW294" s="646"/>
      <c r="BX294" s="646"/>
      <c r="BY294" s="646"/>
    </row>
    <row r="295">
      <c r="A295" s="716" t="s">
        <v>3</v>
      </c>
      <c r="B295" s="7"/>
      <c r="C295" s="7"/>
      <c r="D295" s="7"/>
      <c r="E295" s="7"/>
      <c r="F295" s="5"/>
      <c r="G295" s="716" t="s">
        <v>1022</v>
      </c>
      <c r="H295" s="7"/>
      <c r="I295" s="7"/>
      <c r="J295" s="7"/>
      <c r="K295" s="7"/>
      <c r="L295" s="7"/>
      <c r="M295" s="7"/>
      <c r="N295" s="7"/>
      <c r="O295" s="5"/>
      <c r="P295" s="714"/>
      <c r="Q295" s="714"/>
      <c r="R295" s="746"/>
      <c r="S295" s="710"/>
      <c r="T295" s="710"/>
      <c r="U295" s="745"/>
      <c r="V295" s="714"/>
      <c r="W295" s="714"/>
      <c r="X295" s="745"/>
      <c r="Y295" s="714"/>
      <c r="Z295" s="714"/>
      <c r="AA295" s="710"/>
      <c r="AB295" s="710"/>
      <c r="AC295" s="745"/>
      <c r="AD295" s="714"/>
      <c r="AE295" s="714"/>
      <c r="AF295" s="745"/>
      <c r="AG295" s="710"/>
      <c r="AH295" s="710"/>
      <c r="AI295" s="745"/>
      <c r="AJ295" s="734"/>
      <c r="AK295" s="7"/>
      <c r="AL295" s="7"/>
      <c r="AM295" s="7"/>
      <c r="AN295" s="7"/>
      <c r="AO295" s="5"/>
      <c r="AP295" s="733">
        <v>8.0</v>
      </c>
      <c r="AQ295" s="733">
        <v>10.0</v>
      </c>
      <c r="AR295" s="350"/>
      <c r="AS295" s="350"/>
      <c r="AT295" s="350"/>
      <c r="AU295" s="350"/>
      <c r="AV295" s="350"/>
      <c r="AW295" s="350"/>
      <c r="AX295" s="350"/>
      <c r="AY295" s="350"/>
      <c r="AZ295" s="350"/>
      <c r="BA295" s="350"/>
      <c r="BB295" s="350"/>
      <c r="BC295" s="350"/>
      <c r="BD295" s="350"/>
      <c r="BE295" s="350"/>
      <c r="BF295" s="350"/>
      <c r="BG295" s="350"/>
      <c r="BH295" s="350"/>
      <c r="BI295" s="350"/>
      <c r="BJ295" s="350"/>
      <c r="BK295" s="350"/>
      <c r="BL295" s="646"/>
      <c r="BM295" s="646"/>
      <c r="BN295" s="646"/>
      <c r="BO295" s="646"/>
      <c r="BP295" s="646"/>
      <c r="BQ295" s="646"/>
      <c r="BR295" s="646"/>
      <c r="BS295" s="646"/>
      <c r="BT295" s="646"/>
      <c r="BU295" s="646"/>
      <c r="BV295" s="646"/>
      <c r="BW295" s="646"/>
      <c r="BX295" s="646"/>
      <c r="BY295" s="646"/>
    </row>
    <row r="296">
      <c r="A296" s="716" t="s">
        <v>3</v>
      </c>
      <c r="B296" s="7"/>
      <c r="C296" s="7"/>
      <c r="D296" s="7"/>
      <c r="E296" s="7"/>
      <c r="F296" s="5"/>
      <c r="G296" s="716" t="s">
        <v>1023</v>
      </c>
      <c r="H296" s="7"/>
      <c r="I296" s="7"/>
      <c r="J296" s="7"/>
      <c r="K296" s="7"/>
      <c r="L296" s="7"/>
      <c r="M296" s="7"/>
      <c r="N296" s="7"/>
      <c r="O296" s="5"/>
      <c r="P296" s="714"/>
      <c r="Q296" s="714"/>
      <c r="R296" s="746"/>
      <c r="S296" s="710"/>
      <c r="T296" s="710"/>
      <c r="U296" s="708"/>
      <c r="V296" s="714"/>
      <c r="W296" s="714"/>
      <c r="X296" s="732"/>
      <c r="Y296" s="714"/>
      <c r="Z296" s="714"/>
      <c r="AA296" s="710"/>
      <c r="AB296" s="710"/>
      <c r="AC296" s="708"/>
      <c r="AD296" s="714"/>
      <c r="AE296" s="714"/>
      <c r="AF296" s="732"/>
      <c r="AG296" s="710"/>
      <c r="AH296" s="710"/>
      <c r="AI296" s="713"/>
      <c r="AJ296" s="734"/>
      <c r="AK296" s="7"/>
      <c r="AL296" s="7"/>
      <c r="AM296" s="7"/>
      <c r="AN296" s="7"/>
      <c r="AO296" s="5"/>
      <c r="AP296" s="733">
        <v>8.0</v>
      </c>
      <c r="AQ296" s="733">
        <v>10.0</v>
      </c>
      <c r="AR296" s="350"/>
      <c r="AS296" s="350"/>
      <c r="AT296" s="350"/>
      <c r="AU296" s="350"/>
      <c r="AV296" s="350"/>
      <c r="AW296" s="350"/>
      <c r="AX296" s="350"/>
      <c r="AY296" s="350"/>
      <c r="AZ296" s="350"/>
      <c r="BA296" s="350"/>
      <c r="BB296" s="350"/>
      <c r="BC296" s="350"/>
      <c r="BD296" s="350"/>
      <c r="BE296" s="350"/>
      <c r="BF296" s="350"/>
      <c r="BG296" s="350"/>
      <c r="BH296" s="350"/>
      <c r="BI296" s="350"/>
      <c r="BJ296" s="350"/>
      <c r="BK296" s="350"/>
      <c r="BL296" s="646"/>
      <c r="BM296" s="646"/>
      <c r="BN296" s="646"/>
      <c r="BO296" s="646"/>
      <c r="BP296" s="646"/>
      <c r="BQ296" s="646"/>
      <c r="BR296" s="646"/>
      <c r="BS296" s="646"/>
      <c r="BT296" s="646"/>
      <c r="BU296" s="646"/>
      <c r="BV296" s="646"/>
      <c r="BW296" s="646"/>
      <c r="BX296" s="646"/>
      <c r="BY296" s="646"/>
    </row>
    <row r="297">
      <c r="A297" s="716" t="s">
        <v>3</v>
      </c>
      <c r="B297" s="7"/>
      <c r="C297" s="7"/>
      <c r="D297" s="7"/>
      <c r="E297" s="7"/>
      <c r="F297" s="5"/>
      <c r="G297" s="716" t="s">
        <v>1024</v>
      </c>
      <c r="H297" s="7"/>
      <c r="I297" s="7"/>
      <c r="J297" s="7"/>
      <c r="K297" s="7"/>
      <c r="L297" s="7"/>
      <c r="M297" s="7"/>
      <c r="N297" s="7"/>
      <c r="O297" s="5"/>
      <c r="P297" s="714"/>
      <c r="Q297" s="714"/>
      <c r="R297" s="746"/>
      <c r="S297" s="710"/>
      <c r="T297" s="710"/>
      <c r="U297" s="708"/>
      <c r="V297" s="714"/>
      <c r="W297" s="714"/>
      <c r="X297" s="732"/>
      <c r="Y297" s="714"/>
      <c r="Z297" s="714"/>
      <c r="AA297" s="710"/>
      <c r="AB297" s="710"/>
      <c r="AC297" s="708"/>
      <c r="AD297" s="714"/>
      <c r="AE297" s="714"/>
      <c r="AF297" s="732"/>
      <c r="AG297" s="710"/>
      <c r="AH297" s="710"/>
      <c r="AI297" s="713"/>
      <c r="AJ297" s="734"/>
      <c r="AK297" s="7"/>
      <c r="AL297" s="7"/>
      <c r="AM297" s="7"/>
      <c r="AN297" s="7"/>
      <c r="AO297" s="5"/>
      <c r="AP297" s="733">
        <v>8.0</v>
      </c>
      <c r="AQ297" s="733">
        <v>10.0</v>
      </c>
      <c r="AR297" s="350"/>
      <c r="AS297" s="350"/>
      <c r="AT297" s="350"/>
      <c r="AU297" s="350"/>
      <c r="AV297" s="350"/>
      <c r="AW297" s="350"/>
      <c r="AX297" s="350"/>
      <c r="AY297" s="350"/>
      <c r="AZ297" s="350"/>
      <c r="BA297" s="350"/>
      <c r="BB297" s="350"/>
      <c r="BC297" s="350"/>
      <c r="BD297" s="350"/>
      <c r="BE297" s="350"/>
      <c r="BF297" s="350"/>
      <c r="BG297" s="350"/>
      <c r="BH297" s="350"/>
      <c r="BI297" s="350"/>
      <c r="BJ297" s="350"/>
      <c r="BK297" s="350"/>
      <c r="BL297" s="646"/>
      <c r="BM297" s="646"/>
      <c r="BN297" s="646"/>
      <c r="BO297" s="646"/>
      <c r="BP297" s="646"/>
      <c r="BQ297" s="646"/>
      <c r="BR297" s="646"/>
      <c r="BS297" s="646"/>
      <c r="BT297" s="646"/>
      <c r="BU297" s="646"/>
      <c r="BV297" s="646"/>
      <c r="BW297" s="646"/>
      <c r="BX297" s="646"/>
      <c r="BY297" s="646"/>
    </row>
    <row r="298">
      <c r="A298" s="716" t="s">
        <v>3</v>
      </c>
      <c r="B298" s="7"/>
      <c r="C298" s="7"/>
      <c r="D298" s="7"/>
      <c r="E298" s="7"/>
      <c r="F298" s="5"/>
      <c r="G298" s="716" t="s">
        <v>1025</v>
      </c>
      <c r="H298" s="7"/>
      <c r="I298" s="7"/>
      <c r="J298" s="7"/>
      <c r="K298" s="7"/>
      <c r="L298" s="7"/>
      <c r="M298" s="7"/>
      <c r="N298" s="7"/>
      <c r="O298" s="5"/>
      <c r="P298" s="714"/>
      <c r="Q298" s="714"/>
      <c r="R298" s="746"/>
      <c r="S298" s="710"/>
      <c r="T298" s="710"/>
      <c r="U298" s="708"/>
      <c r="V298" s="714"/>
      <c r="W298" s="714"/>
      <c r="X298" s="732"/>
      <c r="Y298" s="714"/>
      <c r="Z298" s="714"/>
      <c r="AA298" s="710"/>
      <c r="AB298" s="710"/>
      <c r="AC298" s="708"/>
      <c r="AD298" s="714"/>
      <c r="AE298" s="714"/>
      <c r="AF298" s="732"/>
      <c r="AG298" s="710"/>
      <c r="AH298" s="710"/>
      <c r="AI298" s="713"/>
      <c r="AJ298" s="734"/>
      <c r="AK298" s="7"/>
      <c r="AL298" s="7"/>
      <c r="AM298" s="7"/>
      <c r="AN298" s="7"/>
      <c r="AO298" s="5"/>
      <c r="AP298" s="733">
        <v>8.0</v>
      </c>
      <c r="AQ298" s="733">
        <v>10.0</v>
      </c>
      <c r="AR298" s="350"/>
      <c r="AS298" s="350"/>
      <c r="AT298" s="350"/>
      <c r="AU298" s="350"/>
      <c r="AV298" s="350"/>
      <c r="AW298" s="350"/>
      <c r="AX298" s="350"/>
      <c r="AY298" s="350"/>
      <c r="AZ298" s="350"/>
      <c r="BA298" s="350"/>
      <c r="BB298" s="350"/>
      <c r="BC298" s="350"/>
      <c r="BD298" s="350"/>
      <c r="BE298" s="350"/>
      <c r="BF298" s="350"/>
      <c r="BG298" s="350"/>
      <c r="BH298" s="350"/>
      <c r="BI298" s="350"/>
      <c r="BJ298" s="350"/>
      <c r="BK298" s="350"/>
      <c r="BL298" s="646"/>
      <c r="BM298" s="646"/>
      <c r="BN298" s="646"/>
      <c r="BO298" s="646"/>
      <c r="BP298" s="646"/>
      <c r="BQ298" s="646"/>
      <c r="BR298" s="646"/>
      <c r="BS298" s="646"/>
      <c r="BT298" s="646"/>
      <c r="BU298" s="646"/>
      <c r="BV298" s="646"/>
      <c r="BW298" s="646"/>
      <c r="BX298" s="646"/>
      <c r="BY298" s="646"/>
    </row>
    <row r="299">
      <c r="A299" s="716" t="s">
        <v>3</v>
      </c>
      <c r="B299" s="7"/>
      <c r="C299" s="7"/>
      <c r="D299" s="7"/>
      <c r="E299" s="7"/>
      <c r="F299" s="5"/>
      <c r="G299" s="716" t="s">
        <v>1026</v>
      </c>
      <c r="H299" s="7"/>
      <c r="I299" s="7"/>
      <c r="J299" s="7"/>
      <c r="K299" s="7"/>
      <c r="L299" s="7"/>
      <c r="M299" s="7"/>
      <c r="N299" s="7"/>
      <c r="O299" s="5"/>
      <c r="P299" s="714"/>
      <c r="Q299" s="714"/>
      <c r="R299" s="746"/>
      <c r="S299" s="710"/>
      <c r="T299" s="710"/>
      <c r="U299" s="708"/>
      <c r="V299" s="714"/>
      <c r="W299" s="714"/>
      <c r="X299" s="732"/>
      <c r="Y299" s="714"/>
      <c r="Z299" s="714"/>
      <c r="AA299" s="710"/>
      <c r="AB299" s="710"/>
      <c r="AC299" s="708"/>
      <c r="AD299" s="714"/>
      <c r="AE299" s="714"/>
      <c r="AF299" s="732"/>
      <c r="AG299" s="710"/>
      <c r="AH299" s="710"/>
      <c r="AI299" s="713"/>
      <c r="AJ299" s="734"/>
      <c r="AK299" s="7"/>
      <c r="AL299" s="7"/>
      <c r="AM299" s="7"/>
      <c r="AN299" s="7"/>
      <c r="AO299" s="5"/>
      <c r="AP299" s="733">
        <v>8.0</v>
      </c>
      <c r="AQ299" s="733">
        <v>10.0</v>
      </c>
      <c r="AR299" s="350"/>
      <c r="AS299" s="350"/>
      <c r="AT299" s="350"/>
      <c r="AU299" s="350"/>
      <c r="AV299" s="350"/>
      <c r="AW299" s="350"/>
      <c r="AX299" s="350"/>
      <c r="AY299" s="350"/>
      <c r="AZ299" s="350"/>
      <c r="BA299" s="350"/>
      <c r="BB299" s="350"/>
      <c r="BC299" s="350"/>
      <c r="BD299" s="350"/>
      <c r="BE299" s="350"/>
      <c r="BF299" s="350"/>
      <c r="BG299" s="350"/>
      <c r="BH299" s="350"/>
      <c r="BI299" s="350"/>
      <c r="BJ299" s="350"/>
      <c r="BK299" s="350"/>
      <c r="BL299" s="646"/>
      <c r="BM299" s="646"/>
      <c r="BN299" s="646"/>
      <c r="BO299" s="646"/>
      <c r="BP299" s="646"/>
      <c r="BQ299" s="646"/>
      <c r="BR299" s="646"/>
      <c r="BS299" s="646"/>
      <c r="BT299" s="646"/>
      <c r="BU299" s="646"/>
      <c r="BV299" s="646"/>
      <c r="BW299" s="646"/>
      <c r="BX299" s="646"/>
      <c r="BY299" s="646"/>
    </row>
    <row r="300">
      <c r="A300" s="716" t="s">
        <v>3</v>
      </c>
      <c r="B300" s="7"/>
      <c r="C300" s="7"/>
      <c r="D300" s="7"/>
      <c r="E300" s="7"/>
      <c r="F300" s="5"/>
      <c r="G300" s="716" t="s">
        <v>1027</v>
      </c>
      <c r="H300" s="7"/>
      <c r="I300" s="7"/>
      <c r="J300" s="7"/>
      <c r="K300" s="7"/>
      <c r="L300" s="7"/>
      <c r="M300" s="7"/>
      <c r="N300" s="7"/>
      <c r="O300" s="5"/>
      <c r="P300" s="714"/>
      <c r="Q300" s="714"/>
      <c r="R300" s="746"/>
      <c r="S300" s="710"/>
      <c r="T300" s="710"/>
      <c r="U300" s="708"/>
      <c r="V300" s="714"/>
      <c r="W300" s="714"/>
      <c r="X300" s="732"/>
      <c r="Y300" s="714"/>
      <c r="Z300" s="714"/>
      <c r="AA300" s="710"/>
      <c r="AB300" s="710"/>
      <c r="AC300" s="708"/>
      <c r="AD300" s="714"/>
      <c r="AE300" s="714"/>
      <c r="AF300" s="732"/>
      <c r="AG300" s="710"/>
      <c r="AH300" s="710"/>
      <c r="AI300" s="713"/>
      <c r="AJ300" s="734"/>
      <c r="AK300" s="7"/>
      <c r="AL300" s="7"/>
      <c r="AM300" s="7"/>
      <c r="AN300" s="7"/>
      <c r="AO300" s="5"/>
      <c r="AP300" s="733">
        <v>8.0</v>
      </c>
      <c r="AQ300" s="733">
        <v>10.0</v>
      </c>
      <c r="AR300" s="350"/>
      <c r="AS300" s="350"/>
      <c r="AT300" s="350"/>
      <c r="AU300" s="350"/>
      <c r="AV300" s="350"/>
      <c r="AW300" s="350"/>
      <c r="AX300" s="350"/>
      <c r="AY300" s="350"/>
      <c r="AZ300" s="350"/>
      <c r="BA300" s="350"/>
      <c r="BB300" s="350"/>
      <c r="BC300" s="350"/>
      <c r="BD300" s="350"/>
      <c r="BE300" s="350"/>
      <c r="BF300" s="350"/>
      <c r="BG300" s="350"/>
      <c r="BH300" s="350"/>
      <c r="BI300" s="350"/>
      <c r="BJ300" s="350"/>
      <c r="BK300" s="350"/>
      <c r="BL300" s="646"/>
      <c r="BM300" s="646"/>
      <c r="BN300" s="646"/>
      <c r="BO300" s="646"/>
      <c r="BP300" s="646"/>
      <c r="BQ300" s="646"/>
      <c r="BR300" s="646"/>
      <c r="BS300" s="646"/>
      <c r="BT300" s="646"/>
      <c r="BU300" s="646"/>
      <c r="BV300" s="646"/>
      <c r="BW300" s="646"/>
      <c r="BX300" s="646"/>
      <c r="BY300" s="646"/>
    </row>
    <row r="301">
      <c r="A301" s="716" t="s">
        <v>3</v>
      </c>
      <c r="B301" s="7"/>
      <c r="C301" s="7"/>
      <c r="D301" s="7"/>
      <c r="E301" s="7"/>
      <c r="F301" s="5"/>
      <c r="G301" s="716" t="s">
        <v>1028</v>
      </c>
      <c r="H301" s="7"/>
      <c r="I301" s="7"/>
      <c r="J301" s="7"/>
      <c r="K301" s="7"/>
      <c r="L301" s="7"/>
      <c r="M301" s="7"/>
      <c r="N301" s="7"/>
      <c r="O301" s="5"/>
      <c r="P301" s="714"/>
      <c r="Q301" s="714"/>
      <c r="R301" s="746"/>
      <c r="S301" s="710"/>
      <c r="T301" s="710"/>
      <c r="U301" s="708"/>
      <c r="V301" s="714"/>
      <c r="W301" s="714"/>
      <c r="X301" s="732"/>
      <c r="Y301" s="714"/>
      <c r="Z301" s="714"/>
      <c r="AA301" s="710"/>
      <c r="AB301" s="710"/>
      <c r="AC301" s="708"/>
      <c r="AD301" s="714"/>
      <c r="AE301" s="714"/>
      <c r="AF301" s="732"/>
      <c r="AG301" s="710"/>
      <c r="AH301" s="710"/>
      <c r="AI301" s="713"/>
      <c r="AJ301" s="734"/>
      <c r="AK301" s="7"/>
      <c r="AL301" s="7"/>
      <c r="AM301" s="7"/>
      <c r="AN301" s="7"/>
      <c r="AO301" s="5"/>
      <c r="AP301" s="733">
        <v>8.0</v>
      </c>
      <c r="AQ301" s="733">
        <v>10.0</v>
      </c>
      <c r="AR301" s="350"/>
      <c r="AS301" s="350"/>
      <c r="AT301" s="350"/>
      <c r="AU301" s="350"/>
      <c r="AV301" s="350"/>
      <c r="AW301" s="350"/>
      <c r="AX301" s="350"/>
      <c r="AY301" s="350"/>
      <c r="AZ301" s="350"/>
      <c r="BA301" s="350"/>
      <c r="BB301" s="350"/>
      <c r="BC301" s="350"/>
      <c r="BD301" s="350"/>
      <c r="BE301" s="350"/>
      <c r="BF301" s="350"/>
      <c r="BG301" s="350"/>
      <c r="BH301" s="350"/>
      <c r="BI301" s="350"/>
      <c r="BJ301" s="350"/>
      <c r="BK301" s="350"/>
      <c r="BL301" s="646"/>
      <c r="BM301" s="646"/>
      <c r="BN301" s="646"/>
      <c r="BO301" s="646"/>
      <c r="BP301" s="646"/>
      <c r="BQ301" s="646"/>
      <c r="BR301" s="646"/>
      <c r="BS301" s="646"/>
      <c r="BT301" s="646"/>
      <c r="BU301" s="646"/>
      <c r="BV301" s="646"/>
      <c r="BW301" s="646"/>
      <c r="BX301" s="646"/>
      <c r="BY301" s="646"/>
    </row>
    <row r="302">
      <c r="A302" s="707" t="s">
        <v>971</v>
      </c>
      <c r="B302" s="7"/>
      <c r="C302" s="7"/>
      <c r="D302" s="7"/>
      <c r="E302" s="7"/>
      <c r="F302" s="5"/>
      <c r="G302" s="716" t="s">
        <v>1029</v>
      </c>
      <c r="H302" s="7"/>
      <c r="I302" s="7"/>
      <c r="J302" s="7"/>
      <c r="K302" s="7"/>
      <c r="L302" s="7"/>
      <c r="M302" s="7"/>
      <c r="N302" s="7"/>
      <c r="O302" s="5"/>
      <c r="P302" s="714"/>
      <c r="Q302" s="714"/>
      <c r="R302" s="746"/>
      <c r="S302" s="710"/>
      <c r="T302" s="710"/>
      <c r="U302" s="708"/>
      <c r="V302" s="714"/>
      <c r="W302" s="714"/>
      <c r="X302" s="732"/>
      <c r="Y302" s="714"/>
      <c r="Z302" s="714"/>
      <c r="AA302" s="710"/>
      <c r="AB302" s="710"/>
      <c r="AC302" s="708"/>
      <c r="AD302" s="714"/>
      <c r="AE302" s="714"/>
      <c r="AF302" s="732"/>
      <c r="AG302" s="710"/>
      <c r="AH302" s="710"/>
      <c r="AI302" s="713"/>
      <c r="AJ302" s="734"/>
      <c r="AK302" s="7"/>
      <c r="AL302" s="7"/>
      <c r="AM302" s="7"/>
      <c r="AN302" s="7"/>
      <c r="AO302" s="5"/>
      <c r="AP302" s="733">
        <v>12.0</v>
      </c>
      <c r="AQ302" s="733">
        <v>6.0</v>
      </c>
      <c r="AR302" s="350"/>
      <c r="AS302" s="350"/>
      <c r="AT302" s="350"/>
      <c r="AU302" s="350"/>
      <c r="AV302" s="350"/>
      <c r="AW302" s="350"/>
      <c r="AX302" s="350"/>
      <c r="AY302" s="350"/>
      <c r="AZ302" s="350"/>
      <c r="BA302" s="350"/>
      <c r="BB302" s="350"/>
      <c r="BC302" s="350"/>
      <c r="BD302" s="350"/>
      <c r="BE302" s="350"/>
      <c r="BF302" s="350"/>
      <c r="BG302" s="350"/>
      <c r="BH302" s="350"/>
      <c r="BI302" s="350"/>
      <c r="BJ302" s="350"/>
      <c r="BK302" s="350"/>
      <c r="BL302" s="646"/>
      <c r="BM302" s="646"/>
      <c r="BN302" s="646"/>
      <c r="BO302" s="646"/>
      <c r="BP302" s="646"/>
      <c r="BQ302" s="646"/>
      <c r="BR302" s="646"/>
      <c r="BS302" s="646"/>
      <c r="BT302" s="646"/>
      <c r="BU302" s="646"/>
      <c r="BV302" s="646"/>
      <c r="BW302" s="646"/>
      <c r="BX302" s="646"/>
      <c r="BY302" s="646"/>
    </row>
    <row r="303">
      <c r="A303" s="707" t="s">
        <v>971</v>
      </c>
      <c r="B303" s="7"/>
      <c r="C303" s="7"/>
      <c r="D303" s="7"/>
      <c r="E303" s="7"/>
      <c r="F303" s="5"/>
      <c r="G303" s="716" t="s">
        <v>1030</v>
      </c>
      <c r="H303" s="7"/>
      <c r="I303" s="7"/>
      <c r="J303" s="7"/>
      <c r="K303" s="7"/>
      <c r="L303" s="7"/>
      <c r="M303" s="7"/>
      <c r="N303" s="7"/>
      <c r="O303" s="5"/>
      <c r="P303" s="714"/>
      <c r="Q303" s="714"/>
      <c r="R303" s="746"/>
      <c r="S303" s="710"/>
      <c r="T303" s="710"/>
      <c r="U303" s="708"/>
      <c r="V303" s="714"/>
      <c r="W303" s="714"/>
      <c r="X303" s="732"/>
      <c r="Y303" s="714"/>
      <c r="Z303" s="714"/>
      <c r="AA303" s="710"/>
      <c r="AB303" s="710"/>
      <c r="AC303" s="708"/>
      <c r="AD303" s="714"/>
      <c r="AE303" s="714"/>
      <c r="AF303" s="732"/>
      <c r="AG303" s="710"/>
      <c r="AH303" s="710"/>
      <c r="AI303" s="713"/>
      <c r="AJ303" s="734"/>
      <c r="AK303" s="7"/>
      <c r="AL303" s="7"/>
      <c r="AM303" s="7"/>
      <c r="AN303" s="7"/>
      <c r="AO303" s="5"/>
      <c r="AP303" s="733">
        <v>12.0</v>
      </c>
      <c r="AQ303" s="733">
        <v>6.0</v>
      </c>
      <c r="AR303" s="350"/>
      <c r="AS303" s="350"/>
      <c r="AT303" s="350"/>
      <c r="AU303" s="350"/>
      <c r="AV303" s="350"/>
      <c r="AW303" s="350"/>
      <c r="AX303" s="350"/>
      <c r="AY303" s="350"/>
      <c r="AZ303" s="350"/>
      <c r="BA303" s="350"/>
      <c r="BB303" s="350"/>
      <c r="BC303" s="350"/>
      <c r="BD303" s="350"/>
      <c r="BE303" s="350"/>
      <c r="BF303" s="350"/>
      <c r="BG303" s="350"/>
      <c r="BH303" s="350"/>
      <c r="BI303" s="350"/>
      <c r="BJ303" s="350"/>
      <c r="BK303" s="350"/>
      <c r="BL303" s="646"/>
      <c r="BM303" s="646"/>
      <c r="BN303" s="646"/>
      <c r="BO303" s="646"/>
      <c r="BP303" s="646"/>
      <c r="BQ303" s="646"/>
      <c r="BR303" s="646"/>
      <c r="BS303" s="646"/>
      <c r="BT303" s="646"/>
      <c r="BU303" s="646"/>
      <c r="BV303" s="646"/>
      <c r="BW303" s="646"/>
      <c r="BX303" s="646"/>
      <c r="BY303" s="646"/>
    </row>
    <row r="304">
      <c r="A304" s="707" t="s">
        <v>971</v>
      </c>
      <c r="B304" s="7"/>
      <c r="C304" s="7"/>
      <c r="D304" s="7"/>
      <c r="E304" s="7"/>
      <c r="F304" s="5"/>
      <c r="G304" s="716" t="s">
        <v>1031</v>
      </c>
      <c r="H304" s="7"/>
      <c r="I304" s="7"/>
      <c r="J304" s="7"/>
      <c r="K304" s="7"/>
      <c r="L304" s="7"/>
      <c r="M304" s="7"/>
      <c r="N304" s="7"/>
      <c r="O304" s="5"/>
      <c r="P304" s="714"/>
      <c r="Q304" s="714"/>
      <c r="R304" s="746"/>
      <c r="S304" s="710"/>
      <c r="T304" s="710"/>
      <c r="U304" s="708"/>
      <c r="V304" s="714"/>
      <c r="W304" s="714"/>
      <c r="X304" s="732"/>
      <c r="Y304" s="714"/>
      <c r="Z304" s="714"/>
      <c r="AA304" s="710"/>
      <c r="AB304" s="710"/>
      <c r="AC304" s="708"/>
      <c r="AD304" s="714"/>
      <c r="AE304" s="714"/>
      <c r="AF304" s="732"/>
      <c r="AG304" s="710"/>
      <c r="AH304" s="710"/>
      <c r="AI304" s="713"/>
      <c r="AJ304" s="734"/>
      <c r="AK304" s="7"/>
      <c r="AL304" s="7"/>
      <c r="AM304" s="7"/>
      <c r="AN304" s="7"/>
      <c r="AO304" s="5"/>
      <c r="AP304" s="733">
        <v>12.0</v>
      </c>
      <c r="AQ304" s="733">
        <v>6.0</v>
      </c>
      <c r="AR304" s="350"/>
      <c r="AS304" s="350"/>
      <c r="AT304" s="350"/>
      <c r="AU304" s="350"/>
      <c r="AV304" s="350"/>
      <c r="AW304" s="350"/>
      <c r="AX304" s="350"/>
      <c r="AY304" s="350"/>
      <c r="AZ304" s="350"/>
      <c r="BA304" s="350"/>
      <c r="BB304" s="350"/>
      <c r="BC304" s="350"/>
      <c r="BD304" s="350"/>
      <c r="BE304" s="350"/>
      <c r="BF304" s="350"/>
      <c r="BG304" s="350"/>
      <c r="BH304" s="350"/>
      <c r="BI304" s="350"/>
      <c r="BJ304" s="350"/>
      <c r="BK304" s="350"/>
      <c r="BL304" s="646"/>
      <c r="BM304" s="646"/>
      <c r="BN304" s="646"/>
      <c r="BO304" s="646"/>
      <c r="BP304" s="646"/>
      <c r="BQ304" s="646"/>
      <c r="BR304" s="646"/>
      <c r="BS304" s="646"/>
      <c r="BT304" s="646"/>
      <c r="BU304" s="646"/>
      <c r="BV304" s="646"/>
      <c r="BW304" s="646"/>
      <c r="BX304" s="646"/>
      <c r="BY304" s="646"/>
    </row>
    <row r="305">
      <c r="A305" s="707" t="s">
        <v>971</v>
      </c>
      <c r="B305" s="7"/>
      <c r="C305" s="7"/>
      <c r="D305" s="7"/>
      <c r="E305" s="7"/>
      <c r="F305" s="5"/>
      <c r="G305" s="716" t="s">
        <v>1032</v>
      </c>
      <c r="H305" s="7"/>
      <c r="I305" s="7"/>
      <c r="J305" s="7"/>
      <c r="K305" s="7"/>
      <c r="L305" s="7"/>
      <c r="M305" s="7"/>
      <c r="N305" s="7"/>
      <c r="O305" s="5"/>
      <c r="P305" s="714"/>
      <c r="Q305" s="714"/>
      <c r="R305" s="746"/>
      <c r="S305" s="710"/>
      <c r="T305" s="710"/>
      <c r="U305" s="708"/>
      <c r="V305" s="714"/>
      <c r="W305" s="714"/>
      <c r="X305" s="732"/>
      <c r="Y305" s="714"/>
      <c r="Z305" s="714"/>
      <c r="AA305" s="710"/>
      <c r="AB305" s="710"/>
      <c r="AC305" s="708"/>
      <c r="AD305" s="714"/>
      <c r="AE305" s="714"/>
      <c r="AF305" s="732"/>
      <c r="AG305" s="710"/>
      <c r="AH305" s="710"/>
      <c r="AI305" s="710"/>
      <c r="AJ305" s="734"/>
      <c r="AK305" s="7"/>
      <c r="AL305" s="7"/>
      <c r="AM305" s="7"/>
      <c r="AN305" s="7"/>
      <c r="AO305" s="5"/>
      <c r="AP305" s="733">
        <v>12.0</v>
      </c>
      <c r="AQ305" s="733">
        <v>6.0</v>
      </c>
      <c r="AR305" s="350"/>
      <c r="AS305" s="350"/>
      <c r="AT305" s="350"/>
      <c r="AU305" s="350"/>
      <c r="AV305" s="350"/>
      <c r="AW305" s="350"/>
      <c r="AX305" s="350"/>
      <c r="AY305" s="350"/>
      <c r="AZ305" s="350"/>
      <c r="BA305" s="350"/>
      <c r="BB305" s="350"/>
      <c r="BC305" s="350"/>
      <c r="BD305" s="350"/>
      <c r="BE305" s="350"/>
      <c r="BF305" s="350"/>
      <c r="BG305" s="350"/>
      <c r="BH305" s="350"/>
      <c r="BI305" s="350"/>
      <c r="BJ305" s="350"/>
      <c r="BK305" s="350"/>
      <c r="BL305" s="646"/>
      <c r="BM305" s="646"/>
      <c r="BN305" s="646"/>
      <c r="BO305" s="646"/>
      <c r="BP305" s="646"/>
      <c r="BQ305" s="646"/>
      <c r="BR305" s="646"/>
      <c r="BS305" s="646"/>
      <c r="BT305" s="646"/>
      <c r="BU305" s="646"/>
      <c r="BV305" s="646"/>
      <c r="BW305" s="646"/>
      <c r="BX305" s="646"/>
      <c r="BY305" s="646"/>
    </row>
    <row r="306">
      <c r="A306" s="707" t="s">
        <v>971</v>
      </c>
      <c r="B306" s="7"/>
      <c r="C306" s="7"/>
      <c r="D306" s="7"/>
      <c r="E306" s="7"/>
      <c r="F306" s="5"/>
      <c r="G306" s="716" t="s">
        <v>1033</v>
      </c>
      <c r="H306" s="7"/>
      <c r="I306" s="7"/>
      <c r="J306" s="7"/>
      <c r="K306" s="7"/>
      <c r="L306" s="7"/>
      <c r="M306" s="7"/>
      <c r="N306" s="7"/>
      <c r="O306" s="5"/>
      <c r="P306" s="714"/>
      <c r="Q306" s="714"/>
      <c r="R306" s="746"/>
      <c r="S306" s="710"/>
      <c r="T306" s="710"/>
      <c r="U306" s="708"/>
      <c r="V306" s="714"/>
      <c r="W306" s="714"/>
      <c r="X306" s="732"/>
      <c r="Y306" s="714"/>
      <c r="Z306" s="714"/>
      <c r="AA306" s="710"/>
      <c r="AB306" s="710"/>
      <c r="AC306" s="708"/>
      <c r="AD306" s="714"/>
      <c r="AE306" s="714"/>
      <c r="AF306" s="732"/>
      <c r="AG306" s="710"/>
      <c r="AH306" s="710"/>
      <c r="AI306" s="713"/>
      <c r="AJ306" s="734"/>
      <c r="AK306" s="7"/>
      <c r="AL306" s="7"/>
      <c r="AM306" s="7"/>
      <c r="AN306" s="7"/>
      <c r="AO306" s="5"/>
      <c r="AP306" s="733">
        <v>12.0</v>
      </c>
      <c r="AQ306" s="733">
        <v>6.0</v>
      </c>
      <c r="AR306" s="350"/>
      <c r="AS306" s="350"/>
      <c r="AT306" s="350"/>
      <c r="AU306" s="350"/>
      <c r="AV306" s="350"/>
      <c r="AW306" s="350"/>
      <c r="AX306" s="350"/>
      <c r="AY306" s="350"/>
      <c r="AZ306" s="350"/>
      <c r="BA306" s="350"/>
      <c r="BB306" s="350"/>
      <c r="BC306" s="350"/>
      <c r="BD306" s="350"/>
      <c r="BE306" s="350"/>
      <c r="BF306" s="350"/>
      <c r="BG306" s="350"/>
      <c r="BH306" s="350"/>
      <c r="BI306" s="350"/>
      <c r="BJ306" s="350"/>
      <c r="BK306" s="350"/>
      <c r="BL306" s="646"/>
      <c r="BM306" s="646"/>
      <c r="BN306" s="646"/>
      <c r="BO306" s="646"/>
      <c r="BP306" s="646"/>
      <c r="BQ306" s="646"/>
      <c r="BR306" s="646"/>
      <c r="BS306" s="646"/>
      <c r="BT306" s="646"/>
      <c r="BU306" s="646"/>
      <c r="BV306" s="646"/>
      <c r="BW306" s="646"/>
      <c r="BX306" s="646"/>
      <c r="BY306" s="646"/>
    </row>
    <row r="307">
      <c r="A307" s="707" t="s">
        <v>971</v>
      </c>
      <c r="B307" s="7"/>
      <c r="C307" s="7"/>
      <c r="D307" s="7"/>
      <c r="E307" s="7"/>
      <c r="F307" s="5"/>
      <c r="G307" s="716" t="s">
        <v>1034</v>
      </c>
      <c r="H307" s="7"/>
      <c r="I307" s="7"/>
      <c r="J307" s="7"/>
      <c r="K307" s="7"/>
      <c r="L307" s="7"/>
      <c r="M307" s="7"/>
      <c r="N307" s="7"/>
      <c r="O307" s="5"/>
      <c r="P307" s="714"/>
      <c r="Q307" s="714"/>
      <c r="R307" s="746"/>
      <c r="S307" s="710"/>
      <c r="T307" s="710"/>
      <c r="U307" s="708"/>
      <c r="V307" s="714"/>
      <c r="W307" s="714"/>
      <c r="X307" s="732"/>
      <c r="Y307" s="714"/>
      <c r="Z307" s="714"/>
      <c r="AA307" s="710"/>
      <c r="AB307" s="710"/>
      <c r="AC307" s="708"/>
      <c r="AD307" s="714"/>
      <c r="AE307" s="714"/>
      <c r="AF307" s="732"/>
      <c r="AG307" s="710"/>
      <c r="AH307" s="710"/>
      <c r="AI307" s="713"/>
      <c r="AJ307" s="734"/>
      <c r="AK307" s="7"/>
      <c r="AL307" s="7"/>
      <c r="AM307" s="7"/>
      <c r="AN307" s="7"/>
      <c r="AO307" s="5"/>
      <c r="AP307" s="733">
        <v>12.0</v>
      </c>
      <c r="AQ307" s="733">
        <v>6.0</v>
      </c>
      <c r="AR307" s="350"/>
      <c r="AS307" s="350"/>
      <c r="AT307" s="350"/>
      <c r="AU307" s="350"/>
      <c r="AV307" s="350"/>
      <c r="AW307" s="350"/>
      <c r="AX307" s="350"/>
      <c r="AY307" s="350"/>
      <c r="AZ307" s="350"/>
      <c r="BA307" s="350"/>
      <c r="BB307" s="350"/>
      <c r="BC307" s="350"/>
      <c r="BD307" s="350"/>
      <c r="BE307" s="350"/>
      <c r="BF307" s="350"/>
      <c r="BG307" s="350"/>
      <c r="BH307" s="350"/>
      <c r="BI307" s="350"/>
      <c r="BJ307" s="350"/>
      <c r="BK307" s="350"/>
      <c r="BL307" s="646"/>
      <c r="BM307" s="646"/>
      <c r="BN307" s="646"/>
      <c r="BO307" s="646"/>
      <c r="BP307" s="646"/>
      <c r="BQ307" s="646"/>
      <c r="BR307" s="646"/>
      <c r="BS307" s="646"/>
      <c r="BT307" s="646"/>
      <c r="BU307" s="646"/>
      <c r="BV307" s="646"/>
      <c r="BW307" s="646"/>
      <c r="BX307" s="646"/>
      <c r="BY307" s="646"/>
    </row>
    <row r="308">
      <c r="A308" s="707" t="s">
        <v>971</v>
      </c>
      <c r="B308" s="7"/>
      <c r="C308" s="7"/>
      <c r="D308" s="7"/>
      <c r="E308" s="7"/>
      <c r="F308" s="5"/>
      <c r="G308" s="716" t="s">
        <v>1035</v>
      </c>
      <c r="H308" s="7"/>
      <c r="I308" s="7"/>
      <c r="J308" s="7"/>
      <c r="K308" s="7"/>
      <c r="L308" s="7"/>
      <c r="M308" s="7"/>
      <c r="N308" s="7"/>
      <c r="O308" s="5"/>
      <c r="P308" s="714"/>
      <c r="Q308" s="714"/>
      <c r="R308" s="746"/>
      <c r="S308" s="710"/>
      <c r="T308" s="710"/>
      <c r="U308" s="708"/>
      <c r="V308" s="714"/>
      <c r="W308" s="714"/>
      <c r="X308" s="732"/>
      <c r="Y308" s="714"/>
      <c r="Z308" s="714"/>
      <c r="AA308" s="710"/>
      <c r="AB308" s="710"/>
      <c r="AC308" s="708"/>
      <c r="AD308" s="714"/>
      <c r="AE308" s="714"/>
      <c r="AF308" s="732"/>
      <c r="AG308" s="710"/>
      <c r="AH308" s="710"/>
      <c r="AI308" s="713"/>
      <c r="AJ308" s="734"/>
      <c r="AK308" s="7"/>
      <c r="AL308" s="7"/>
      <c r="AM308" s="7"/>
      <c r="AN308" s="7"/>
      <c r="AO308" s="5"/>
      <c r="AP308" s="733">
        <v>12.0</v>
      </c>
      <c r="AQ308" s="733">
        <v>6.0</v>
      </c>
      <c r="AR308" s="350"/>
      <c r="AS308" s="350"/>
      <c r="AT308" s="350"/>
      <c r="AU308" s="350"/>
      <c r="AV308" s="350"/>
      <c r="AW308" s="350"/>
      <c r="AX308" s="350"/>
      <c r="AY308" s="350"/>
      <c r="AZ308" s="350"/>
      <c r="BA308" s="350"/>
      <c r="BB308" s="350"/>
      <c r="BC308" s="350"/>
      <c r="BD308" s="350"/>
      <c r="BE308" s="350"/>
      <c r="BF308" s="350"/>
      <c r="BG308" s="350"/>
      <c r="BH308" s="350"/>
      <c r="BI308" s="350"/>
      <c r="BJ308" s="350"/>
      <c r="BK308" s="350"/>
      <c r="BL308" s="646"/>
      <c r="BM308" s="646"/>
      <c r="BN308" s="646"/>
      <c r="BO308" s="646"/>
      <c r="BP308" s="646"/>
      <c r="BQ308" s="646"/>
      <c r="BR308" s="646"/>
      <c r="BS308" s="646"/>
      <c r="BT308" s="646"/>
      <c r="BU308" s="646"/>
      <c r="BV308" s="646"/>
      <c r="BW308" s="646"/>
      <c r="BX308" s="646"/>
      <c r="BY308" s="646"/>
    </row>
    <row r="309">
      <c r="A309" s="707" t="s">
        <v>971</v>
      </c>
      <c r="B309" s="7"/>
      <c r="C309" s="7"/>
      <c r="D309" s="7"/>
      <c r="E309" s="7"/>
      <c r="F309" s="5"/>
      <c r="G309" s="716" t="s">
        <v>1036</v>
      </c>
      <c r="H309" s="7"/>
      <c r="I309" s="7"/>
      <c r="J309" s="7"/>
      <c r="K309" s="7"/>
      <c r="L309" s="7"/>
      <c r="M309" s="7"/>
      <c r="N309" s="7"/>
      <c r="O309" s="5"/>
      <c r="P309" s="714"/>
      <c r="Q309" s="714"/>
      <c r="R309" s="746"/>
      <c r="S309" s="710"/>
      <c r="T309" s="710"/>
      <c r="U309" s="708"/>
      <c r="V309" s="714"/>
      <c r="W309" s="714"/>
      <c r="X309" s="732"/>
      <c r="Y309" s="714"/>
      <c r="Z309" s="714"/>
      <c r="AA309" s="710"/>
      <c r="AB309" s="710"/>
      <c r="AC309" s="708"/>
      <c r="AD309" s="714"/>
      <c r="AE309" s="714"/>
      <c r="AF309" s="732"/>
      <c r="AG309" s="710"/>
      <c r="AH309" s="710"/>
      <c r="AI309" s="713"/>
      <c r="AJ309" s="734"/>
      <c r="AK309" s="7"/>
      <c r="AL309" s="7"/>
      <c r="AM309" s="7"/>
      <c r="AN309" s="7"/>
      <c r="AO309" s="5"/>
      <c r="AP309" s="733">
        <v>12.0</v>
      </c>
      <c r="AQ309" s="733">
        <v>6.0</v>
      </c>
      <c r="AR309" s="350"/>
      <c r="AS309" s="350"/>
      <c r="AT309" s="350"/>
      <c r="AU309" s="350"/>
      <c r="AV309" s="350"/>
      <c r="AW309" s="350"/>
      <c r="AX309" s="350"/>
      <c r="AY309" s="350"/>
      <c r="AZ309" s="350"/>
      <c r="BA309" s="350"/>
      <c r="BB309" s="350"/>
      <c r="BC309" s="350"/>
      <c r="BD309" s="350"/>
      <c r="BE309" s="350"/>
      <c r="BF309" s="350"/>
      <c r="BG309" s="350"/>
      <c r="BH309" s="350"/>
      <c r="BI309" s="350"/>
      <c r="BJ309" s="350"/>
      <c r="BK309" s="350"/>
      <c r="BL309" s="646"/>
      <c r="BM309" s="646"/>
      <c r="BN309" s="646"/>
      <c r="BO309" s="646"/>
      <c r="BP309" s="646"/>
      <c r="BQ309" s="646"/>
      <c r="BR309" s="646"/>
      <c r="BS309" s="646"/>
      <c r="BT309" s="646"/>
      <c r="BU309" s="646"/>
      <c r="BV309" s="646"/>
      <c r="BW309" s="646"/>
      <c r="BX309" s="646"/>
      <c r="BY309" s="646"/>
    </row>
    <row r="310">
      <c r="A310" s="707" t="s">
        <v>971</v>
      </c>
      <c r="B310" s="7"/>
      <c r="C310" s="7"/>
      <c r="D310" s="7"/>
      <c r="E310" s="7"/>
      <c r="F310" s="5"/>
      <c r="G310" s="716" t="s">
        <v>1037</v>
      </c>
      <c r="H310" s="7"/>
      <c r="I310" s="7"/>
      <c r="J310" s="7"/>
      <c r="K310" s="7"/>
      <c r="L310" s="7"/>
      <c r="M310" s="7"/>
      <c r="N310" s="7"/>
      <c r="O310" s="5"/>
      <c r="P310" s="714"/>
      <c r="Q310" s="714"/>
      <c r="R310" s="746"/>
      <c r="S310" s="710"/>
      <c r="T310" s="710"/>
      <c r="U310" s="708"/>
      <c r="V310" s="714"/>
      <c r="W310" s="714"/>
      <c r="X310" s="732"/>
      <c r="Y310" s="714"/>
      <c r="Z310" s="714"/>
      <c r="AA310" s="710"/>
      <c r="AB310" s="710"/>
      <c r="AC310" s="708"/>
      <c r="AD310" s="714"/>
      <c r="AE310" s="714"/>
      <c r="AF310" s="732"/>
      <c r="AG310" s="710"/>
      <c r="AH310" s="710"/>
      <c r="AI310" s="713"/>
      <c r="AJ310" s="734"/>
      <c r="AK310" s="7"/>
      <c r="AL310" s="7"/>
      <c r="AM310" s="7"/>
      <c r="AN310" s="7"/>
      <c r="AO310" s="5"/>
      <c r="AP310" s="733">
        <v>12.0</v>
      </c>
      <c r="AQ310" s="733">
        <v>6.0</v>
      </c>
      <c r="AR310" s="350"/>
      <c r="AS310" s="350"/>
      <c r="AT310" s="350"/>
      <c r="AU310" s="350"/>
      <c r="AV310" s="350"/>
      <c r="AW310" s="350"/>
      <c r="AX310" s="350"/>
      <c r="AY310" s="350"/>
      <c r="AZ310" s="350"/>
      <c r="BA310" s="350"/>
      <c r="BB310" s="350"/>
      <c r="BC310" s="350"/>
      <c r="BD310" s="350"/>
      <c r="BE310" s="350"/>
      <c r="BF310" s="350"/>
      <c r="BG310" s="350"/>
      <c r="BH310" s="350"/>
      <c r="BI310" s="350"/>
      <c r="BJ310" s="350"/>
      <c r="BK310" s="350"/>
      <c r="BL310" s="646"/>
      <c r="BM310" s="646"/>
      <c r="BN310" s="646"/>
      <c r="BO310" s="646"/>
      <c r="BP310" s="646"/>
      <c r="BQ310" s="646"/>
      <c r="BR310" s="646"/>
      <c r="BS310" s="646"/>
      <c r="BT310" s="646"/>
      <c r="BU310" s="646"/>
      <c r="BV310" s="646"/>
      <c r="BW310" s="646"/>
      <c r="BX310" s="646"/>
      <c r="BY310" s="646"/>
    </row>
    <row r="311">
      <c r="A311" s="707" t="s">
        <v>972</v>
      </c>
      <c r="B311" s="7"/>
      <c r="C311" s="7"/>
      <c r="D311" s="7"/>
      <c r="E311" s="7"/>
      <c r="F311" s="5"/>
      <c r="G311" s="716" t="s">
        <v>1038</v>
      </c>
      <c r="H311" s="7"/>
      <c r="I311" s="7"/>
      <c r="J311" s="7"/>
      <c r="K311" s="7"/>
      <c r="L311" s="7"/>
      <c r="M311" s="7"/>
      <c r="N311" s="7"/>
      <c r="O311" s="5"/>
      <c r="P311" s="714"/>
      <c r="Q311" s="714"/>
      <c r="R311" s="746"/>
      <c r="S311" s="710"/>
      <c r="T311" s="710"/>
      <c r="U311" s="708"/>
      <c r="V311" s="714"/>
      <c r="W311" s="714"/>
      <c r="X311" s="714"/>
      <c r="Y311" s="714"/>
      <c r="Z311" s="714"/>
      <c r="AA311" s="710"/>
      <c r="AB311" s="708"/>
      <c r="AC311" s="710"/>
      <c r="AD311" s="714"/>
      <c r="AE311" s="714"/>
      <c r="AF311" s="714"/>
      <c r="AG311" s="710"/>
      <c r="AH311" s="710"/>
      <c r="AI311" s="713"/>
      <c r="AJ311" s="734"/>
      <c r="AK311" s="7"/>
      <c r="AL311" s="7"/>
      <c r="AM311" s="7"/>
      <c r="AN311" s="7"/>
      <c r="AO311" s="5"/>
      <c r="AP311" s="733">
        <v>10.0</v>
      </c>
      <c r="AQ311" s="733">
        <v>8.0</v>
      </c>
      <c r="AR311" s="350"/>
      <c r="AS311" s="350"/>
      <c r="AT311" s="350"/>
      <c r="AU311" s="350"/>
      <c r="AV311" s="350"/>
      <c r="AW311" s="350"/>
      <c r="AX311" s="350"/>
      <c r="AY311" s="350"/>
      <c r="AZ311" s="350"/>
      <c r="BA311" s="350"/>
      <c r="BB311" s="350"/>
      <c r="BC311" s="350"/>
      <c r="BD311" s="350"/>
      <c r="BE311" s="350"/>
      <c r="BF311" s="350"/>
      <c r="BG311" s="350"/>
      <c r="BH311" s="350"/>
      <c r="BI311" s="350"/>
      <c r="BJ311" s="350"/>
      <c r="BK311" s="350"/>
      <c r="BL311" s="646"/>
      <c r="BM311" s="646"/>
      <c r="BN311" s="646"/>
      <c r="BO311" s="646"/>
      <c r="BP311" s="646"/>
      <c r="BQ311" s="646"/>
      <c r="BR311" s="646"/>
      <c r="BS311" s="646"/>
      <c r="BT311" s="646"/>
      <c r="BU311" s="646"/>
      <c r="BV311" s="646"/>
      <c r="BW311" s="646"/>
      <c r="BX311" s="646"/>
      <c r="BY311" s="646"/>
    </row>
    <row r="312">
      <c r="A312" s="707" t="s">
        <v>972</v>
      </c>
      <c r="B312" s="7"/>
      <c r="C312" s="7"/>
      <c r="D312" s="7"/>
      <c r="E312" s="7"/>
      <c r="F312" s="5"/>
      <c r="G312" s="716" t="s">
        <v>1039</v>
      </c>
      <c r="H312" s="7"/>
      <c r="I312" s="7"/>
      <c r="J312" s="7"/>
      <c r="K312" s="7"/>
      <c r="L312" s="7"/>
      <c r="M312" s="7"/>
      <c r="N312" s="7"/>
      <c r="O312" s="5"/>
      <c r="P312" s="714"/>
      <c r="Q312" s="714"/>
      <c r="R312" s="746"/>
      <c r="S312" s="710"/>
      <c r="T312" s="710"/>
      <c r="U312" s="708"/>
      <c r="V312" s="714"/>
      <c r="W312" s="714"/>
      <c r="X312" s="714"/>
      <c r="Y312" s="714"/>
      <c r="Z312" s="714"/>
      <c r="AA312" s="710"/>
      <c r="AB312" s="708"/>
      <c r="AC312" s="710"/>
      <c r="AD312" s="714"/>
      <c r="AE312" s="714"/>
      <c r="AF312" s="714"/>
      <c r="AG312" s="710"/>
      <c r="AH312" s="710"/>
      <c r="AI312" s="713"/>
      <c r="AJ312" s="734"/>
      <c r="AK312" s="7"/>
      <c r="AL312" s="7"/>
      <c r="AM312" s="7"/>
      <c r="AN312" s="7"/>
      <c r="AO312" s="5"/>
      <c r="AP312" s="733">
        <v>10.0</v>
      </c>
      <c r="AQ312" s="733">
        <v>8.0</v>
      </c>
      <c r="AR312" s="350"/>
      <c r="AS312" s="350"/>
      <c r="AT312" s="350"/>
      <c r="AU312" s="350"/>
      <c r="AV312" s="350"/>
      <c r="AW312" s="350"/>
      <c r="AX312" s="350"/>
      <c r="AY312" s="350"/>
      <c r="AZ312" s="350"/>
      <c r="BA312" s="350"/>
      <c r="BB312" s="350"/>
      <c r="BC312" s="350"/>
      <c r="BD312" s="350"/>
      <c r="BE312" s="350"/>
      <c r="BF312" s="350"/>
      <c r="BG312" s="350"/>
      <c r="BH312" s="350"/>
      <c r="BI312" s="350"/>
      <c r="BJ312" s="350"/>
      <c r="BK312" s="350"/>
      <c r="BL312" s="646"/>
      <c r="BM312" s="646"/>
      <c r="BN312" s="646"/>
      <c r="BO312" s="646"/>
      <c r="BP312" s="646"/>
      <c r="BQ312" s="646"/>
      <c r="BR312" s="646"/>
      <c r="BS312" s="646"/>
      <c r="BT312" s="646"/>
      <c r="BU312" s="646"/>
      <c r="BV312" s="646"/>
      <c r="BW312" s="646"/>
      <c r="BX312" s="646"/>
      <c r="BY312" s="646"/>
    </row>
    <row r="313">
      <c r="A313" s="707" t="s">
        <v>972</v>
      </c>
      <c r="B313" s="7"/>
      <c r="C313" s="7"/>
      <c r="D313" s="7"/>
      <c r="E313" s="7"/>
      <c r="F313" s="5"/>
      <c r="G313" s="716" t="s">
        <v>1040</v>
      </c>
      <c r="H313" s="7"/>
      <c r="I313" s="7"/>
      <c r="J313" s="7"/>
      <c r="K313" s="7"/>
      <c r="L313" s="7"/>
      <c r="M313" s="7"/>
      <c r="N313" s="7"/>
      <c r="O313" s="5"/>
      <c r="P313" s="714"/>
      <c r="Q313" s="714"/>
      <c r="R313" s="746"/>
      <c r="S313" s="710"/>
      <c r="T313" s="710"/>
      <c r="U313" s="708"/>
      <c r="V313" s="714"/>
      <c r="W313" s="714"/>
      <c r="X313" s="714"/>
      <c r="Y313" s="714"/>
      <c r="Z313" s="714"/>
      <c r="AA313" s="710"/>
      <c r="AB313" s="708"/>
      <c r="AC313" s="710"/>
      <c r="AD313" s="714"/>
      <c r="AE313" s="714"/>
      <c r="AF313" s="714"/>
      <c r="AG313" s="710"/>
      <c r="AH313" s="710"/>
      <c r="AI313" s="713"/>
      <c r="AJ313" s="734"/>
      <c r="AK313" s="7"/>
      <c r="AL313" s="7"/>
      <c r="AM313" s="7"/>
      <c r="AN313" s="7"/>
      <c r="AO313" s="5"/>
      <c r="AP313" s="733">
        <v>10.0</v>
      </c>
      <c r="AQ313" s="733">
        <v>8.0</v>
      </c>
      <c r="AR313" s="350"/>
      <c r="AS313" s="350"/>
      <c r="AT313" s="350"/>
      <c r="AU313" s="350"/>
      <c r="AV313" s="350"/>
      <c r="AW313" s="350"/>
      <c r="AX313" s="350"/>
      <c r="AY313" s="350"/>
      <c r="AZ313" s="350"/>
      <c r="BA313" s="350"/>
      <c r="BB313" s="350"/>
      <c r="BC313" s="350"/>
      <c r="BD313" s="350"/>
      <c r="BE313" s="350"/>
      <c r="BF313" s="350"/>
      <c r="BG313" s="350"/>
      <c r="BH313" s="350"/>
      <c r="BI313" s="350"/>
      <c r="BJ313" s="350"/>
      <c r="BK313" s="350"/>
      <c r="BL313" s="646"/>
      <c r="BM313" s="646"/>
      <c r="BN313" s="646"/>
      <c r="BO313" s="646"/>
      <c r="BP313" s="646"/>
      <c r="BQ313" s="646"/>
      <c r="BR313" s="646"/>
      <c r="BS313" s="646"/>
      <c r="BT313" s="646"/>
      <c r="BU313" s="646"/>
      <c r="BV313" s="646"/>
      <c r="BW313" s="646"/>
      <c r="BX313" s="646"/>
      <c r="BY313" s="646"/>
    </row>
    <row r="314">
      <c r="A314" s="707" t="s">
        <v>972</v>
      </c>
      <c r="B314" s="7"/>
      <c r="C314" s="7"/>
      <c r="D314" s="7"/>
      <c r="E314" s="7"/>
      <c r="F314" s="5"/>
      <c r="G314" s="716" t="s">
        <v>1041</v>
      </c>
      <c r="H314" s="7"/>
      <c r="I314" s="7"/>
      <c r="J314" s="7"/>
      <c r="K314" s="7"/>
      <c r="L314" s="7"/>
      <c r="M314" s="7"/>
      <c r="N314" s="7"/>
      <c r="O314" s="5"/>
      <c r="P314" s="714"/>
      <c r="Q314" s="714"/>
      <c r="R314" s="746"/>
      <c r="S314" s="710"/>
      <c r="T314" s="710"/>
      <c r="U314" s="708"/>
      <c r="V314" s="714"/>
      <c r="W314" s="714"/>
      <c r="X314" s="714"/>
      <c r="Y314" s="714"/>
      <c r="Z314" s="714"/>
      <c r="AA314" s="710"/>
      <c r="AB314" s="708"/>
      <c r="AC314" s="710"/>
      <c r="AD314" s="714"/>
      <c r="AE314" s="714"/>
      <c r="AF314" s="714"/>
      <c r="AG314" s="710"/>
      <c r="AH314" s="710"/>
      <c r="AI314" s="713"/>
      <c r="AJ314" s="734"/>
      <c r="AK314" s="7"/>
      <c r="AL314" s="7"/>
      <c r="AM314" s="7"/>
      <c r="AN314" s="7"/>
      <c r="AO314" s="5"/>
      <c r="AP314" s="733">
        <v>10.0</v>
      </c>
      <c r="AQ314" s="733">
        <v>8.0</v>
      </c>
      <c r="AR314" s="350"/>
      <c r="AS314" s="350"/>
      <c r="AT314" s="350"/>
      <c r="AU314" s="350"/>
      <c r="AV314" s="350"/>
      <c r="AW314" s="350"/>
      <c r="AX314" s="350"/>
      <c r="AY314" s="350"/>
      <c r="AZ314" s="350"/>
      <c r="BA314" s="350"/>
      <c r="BB314" s="350"/>
      <c r="BC314" s="350"/>
      <c r="BD314" s="350"/>
      <c r="BE314" s="350"/>
      <c r="BF314" s="350"/>
      <c r="BG314" s="350"/>
      <c r="BH314" s="350"/>
      <c r="BI314" s="350"/>
      <c r="BJ314" s="350"/>
      <c r="BK314" s="350"/>
      <c r="BL314" s="646"/>
      <c r="BM314" s="646"/>
      <c r="BN314" s="646"/>
      <c r="BO314" s="646"/>
      <c r="BP314" s="646"/>
      <c r="BQ314" s="646"/>
      <c r="BR314" s="646"/>
      <c r="BS314" s="646"/>
      <c r="BT314" s="646"/>
      <c r="BU314" s="646"/>
      <c r="BV314" s="646"/>
      <c r="BW314" s="646"/>
      <c r="BX314" s="646"/>
      <c r="BY314" s="646"/>
    </row>
    <row r="315">
      <c r="A315" s="707" t="s">
        <v>972</v>
      </c>
      <c r="B315" s="7"/>
      <c r="C315" s="7"/>
      <c r="D315" s="7"/>
      <c r="E315" s="7"/>
      <c r="F315" s="5"/>
      <c r="G315" s="716" t="s">
        <v>1042</v>
      </c>
      <c r="H315" s="7"/>
      <c r="I315" s="7"/>
      <c r="J315" s="7"/>
      <c r="K315" s="7"/>
      <c r="L315" s="7"/>
      <c r="M315" s="7"/>
      <c r="N315" s="7"/>
      <c r="O315" s="5"/>
      <c r="P315" s="714"/>
      <c r="Q315" s="714"/>
      <c r="R315" s="746"/>
      <c r="S315" s="710"/>
      <c r="T315" s="710"/>
      <c r="U315" s="708"/>
      <c r="V315" s="714"/>
      <c r="W315" s="714"/>
      <c r="X315" s="714"/>
      <c r="Y315" s="714"/>
      <c r="Z315" s="714"/>
      <c r="AA315" s="710"/>
      <c r="AB315" s="708"/>
      <c r="AC315" s="710"/>
      <c r="AD315" s="714"/>
      <c r="AE315" s="714"/>
      <c r="AF315" s="714"/>
      <c r="AG315" s="710"/>
      <c r="AH315" s="710"/>
      <c r="AI315" s="713"/>
      <c r="AJ315" s="734"/>
      <c r="AK315" s="7"/>
      <c r="AL315" s="7"/>
      <c r="AM315" s="7"/>
      <c r="AN315" s="7"/>
      <c r="AO315" s="5"/>
      <c r="AP315" s="733">
        <v>10.0</v>
      </c>
      <c r="AQ315" s="733">
        <v>8.0</v>
      </c>
      <c r="AR315" s="350"/>
      <c r="AS315" s="350"/>
      <c r="AT315" s="350"/>
      <c r="AU315" s="350"/>
      <c r="AV315" s="350"/>
      <c r="AW315" s="350"/>
      <c r="AX315" s="350"/>
      <c r="AY315" s="350"/>
      <c r="AZ315" s="350"/>
      <c r="BA315" s="350"/>
      <c r="BB315" s="350"/>
      <c r="BC315" s="350"/>
      <c r="BD315" s="350"/>
      <c r="BE315" s="350"/>
      <c r="BF315" s="350"/>
      <c r="BG315" s="350"/>
      <c r="BH315" s="350"/>
      <c r="BI315" s="350"/>
      <c r="BJ315" s="350"/>
      <c r="BK315" s="350"/>
      <c r="BL315" s="646"/>
      <c r="BM315" s="646"/>
      <c r="BN315" s="646"/>
      <c r="BO315" s="646"/>
      <c r="BP315" s="646"/>
      <c r="BQ315" s="646"/>
      <c r="BR315" s="646"/>
      <c r="BS315" s="646"/>
      <c r="BT315" s="646"/>
      <c r="BU315" s="646"/>
      <c r="BV315" s="646"/>
      <c r="BW315" s="646"/>
      <c r="BX315" s="646"/>
      <c r="BY315" s="646"/>
    </row>
    <row r="316">
      <c r="A316" s="707" t="s">
        <v>972</v>
      </c>
      <c r="B316" s="7"/>
      <c r="C316" s="7"/>
      <c r="D316" s="7"/>
      <c r="E316" s="7"/>
      <c r="F316" s="5"/>
      <c r="G316" s="716" t="s">
        <v>1043</v>
      </c>
      <c r="H316" s="7"/>
      <c r="I316" s="7"/>
      <c r="J316" s="7"/>
      <c r="K316" s="7"/>
      <c r="L316" s="7"/>
      <c r="M316" s="7"/>
      <c r="N316" s="7"/>
      <c r="O316" s="5"/>
      <c r="P316" s="714"/>
      <c r="Q316" s="714"/>
      <c r="R316" s="746"/>
      <c r="S316" s="710"/>
      <c r="T316" s="710"/>
      <c r="U316" s="708"/>
      <c r="V316" s="714"/>
      <c r="W316" s="714"/>
      <c r="X316" s="714"/>
      <c r="Y316" s="714"/>
      <c r="Z316" s="714"/>
      <c r="AA316" s="710"/>
      <c r="AB316" s="708"/>
      <c r="AC316" s="710"/>
      <c r="AD316" s="714"/>
      <c r="AE316" s="714"/>
      <c r="AF316" s="714"/>
      <c r="AG316" s="710"/>
      <c r="AH316" s="710"/>
      <c r="AI316" s="713"/>
      <c r="AJ316" s="734"/>
      <c r="AK316" s="7"/>
      <c r="AL316" s="7"/>
      <c r="AM316" s="7"/>
      <c r="AN316" s="7"/>
      <c r="AO316" s="5"/>
      <c r="AP316" s="733">
        <v>10.0</v>
      </c>
      <c r="AQ316" s="733">
        <v>8.0</v>
      </c>
      <c r="AR316" s="350"/>
      <c r="AS316" s="350"/>
      <c r="AT316" s="350"/>
      <c r="AU316" s="350"/>
      <c r="AV316" s="350"/>
      <c r="AW316" s="350"/>
      <c r="AX316" s="350"/>
      <c r="AY316" s="350"/>
      <c r="AZ316" s="350"/>
      <c r="BA316" s="350"/>
      <c r="BB316" s="350"/>
      <c r="BC316" s="350"/>
      <c r="BD316" s="350"/>
      <c r="BE316" s="350"/>
      <c r="BF316" s="350"/>
      <c r="BG316" s="350"/>
      <c r="BH316" s="350"/>
      <c r="BI316" s="350"/>
      <c r="BJ316" s="350"/>
      <c r="BK316" s="350"/>
      <c r="BL316" s="646"/>
      <c r="BM316" s="646"/>
      <c r="BN316" s="646"/>
      <c r="BO316" s="646"/>
      <c r="BP316" s="646"/>
      <c r="BQ316" s="646"/>
      <c r="BR316" s="646"/>
      <c r="BS316" s="646"/>
      <c r="BT316" s="646"/>
      <c r="BU316" s="646"/>
      <c r="BV316" s="646"/>
      <c r="BW316" s="646"/>
      <c r="BX316" s="646"/>
      <c r="BY316" s="646"/>
    </row>
    <row r="317">
      <c r="A317" s="707" t="s">
        <v>972</v>
      </c>
      <c r="B317" s="7"/>
      <c r="C317" s="7"/>
      <c r="D317" s="7"/>
      <c r="E317" s="7"/>
      <c r="F317" s="5"/>
      <c r="G317" s="716" t="s">
        <v>1044</v>
      </c>
      <c r="H317" s="7"/>
      <c r="I317" s="7"/>
      <c r="J317" s="7"/>
      <c r="K317" s="7"/>
      <c r="L317" s="7"/>
      <c r="M317" s="7"/>
      <c r="N317" s="7"/>
      <c r="O317" s="5"/>
      <c r="P317" s="714"/>
      <c r="Q317" s="714"/>
      <c r="R317" s="746"/>
      <c r="S317" s="710"/>
      <c r="T317" s="710"/>
      <c r="U317" s="708"/>
      <c r="V317" s="714"/>
      <c r="W317" s="714"/>
      <c r="X317" s="714"/>
      <c r="Y317" s="714"/>
      <c r="Z317" s="714"/>
      <c r="AA317" s="710"/>
      <c r="AB317" s="708"/>
      <c r="AC317" s="710"/>
      <c r="AD317" s="714"/>
      <c r="AE317" s="714"/>
      <c r="AF317" s="714"/>
      <c r="AG317" s="710"/>
      <c r="AH317" s="710"/>
      <c r="AI317" s="713"/>
      <c r="AJ317" s="734"/>
      <c r="AK317" s="7"/>
      <c r="AL317" s="7"/>
      <c r="AM317" s="7"/>
      <c r="AN317" s="7"/>
      <c r="AO317" s="5"/>
      <c r="AP317" s="733">
        <v>10.0</v>
      </c>
      <c r="AQ317" s="733">
        <v>8.0</v>
      </c>
      <c r="AR317" s="350"/>
      <c r="AS317" s="350"/>
      <c r="AT317" s="350"/>
      <c r="AU317" s="350"/>
      <c r="AV317" s="350"/>
      <c r="AW317" s="350"/>
      <c r="AX317" s="350"/>
      <c r="AY317" s="350"/>
      <c r="AZ317" s="350"/>
      <c r="BA317" s="350"/>
      <c r="BB317" s="350"/>
      <c r="BC317" s="350"/>
      <c r="BD317" s="350"/>
      <c r="BE317" s="350"/>
      <c r="BF317" s="350"/>
      <c r="BG317" s="350"/>
      <c r="BH317" s="350"/>
      <c r="BI317" s="350"/>
      <c r="BJ317" s="350"/>
      <c r="BK317" s="350"/>
      <c r="BL317" s="646"/>
      <c r="BM317" s="646"/>
      <c r="BN317" s="646"/>
      <c r="BO317" s="646"/>
      <c r="BP317" s="646"/>
      <c r="BQ317" s="646"/>
      <c r="BR317" s="646"/>
      <c r="BS317" s="646"/>
      <c r="BT317" s="646"/>
      <c r="BU317" s="646"/>
      <c r="BV317" s="646"/>
      <c r="BW317" s="646"/>
      <c r="BX317" s="646"/>
      <c r="BY317" s="646"/>
    </row>
    <row r="318">
      <c r="A318" s="707" t="s">
        <v>972</v>
      </c>
      <c r="B318" s="7"/>
      <c r="C318" s="7"/>
      <c r="D318" s="7"/>
      <c r="E318" s="7"/>
      <c r="F318" s="5"/>
      <c r="G318" s="716" t="s">
        <v>1045</v>
      </c>
      <c r="H318" s="7"/>
      <c r="I318" s="7"/>
      <c r="J318" s="7"/>
      <c r="K318" s="7"/>
      <c r="L318" s="7"/>
      <c r="M318" s="7"/>
      <c r="N318" s="7"/>
      <c r="O318" s="5"/>
      <c r="P318" s="714"/>
      <c r="Q318" s="714"/>
      <c r="R318" s="746"/>
      <c r="S318" s="710"/>
      <c r="T318" s="710"/>
      <c r="U318" s="708"/>
      <c r="V318" s="714"/>
      <c r="W318" s="714"/>
      <c r="X318" s="714"/>
      <c r="Y318" s="714"/>
      <c r="Z318" s="714"/>
      <c r="AA318" s="710"/>
      <c r="AB318" s="708"/>
      <c r="AC318" s="710"/>
      <c r="AD318" s="714"/>
      <c r="AE318" s="714"/>
      <c r="AF318" s="714"/>
      <c r="AG318" s="710"/>
      <c r="AH318" s="710"/>
      <c r="AI318" s="713"/>
      <c r="AJ318" s="734"/>
      <c r="AK318" s="7"/>
      <c r="AL318" s="7"/>
      <c r="AM318" s="7"/>
      <c r="AN318" s="7"/>
      <c r="AO318" s="5"/>
      <c r="AP318" s="733">
        <v>10.0</v>
      </c>
      <c r="AQ318" s="733">
        <v>8.0</v>
      </c>
      <c r="AR318" s="350"/>
      <c r="AS318" s="350"/>
      <c r="AT318" s="350"/>
      <c r="AU318" s="350"/>
      <c r="AV318" s="350"/>
      <c r="AW318" s="350"/>
      <c r="AX318" s="350"/>
      <c r="AY318" s="350"/>
      <c r="AZ318" s="350"/>
      <c r="BA318" s="350"/>
      <c r="BB318" s="350"/>
      <c r="BC318" s="350"/>
      <c r="BD318" s="350"/>
      <c r="BE318" s="350"/>
      <c r="BF318" s="350"/>
      <c r="BG318" s="350"/>
      <c r="BH318" s="350"/>
      <c r="BI318" s="350"/>
      <c r="BJ318" s="350"/>
      <c r="BK318" s="350"/>
      <c r="BL318" s="646"/>
      <c r="BM318" s="646"/>
      <c r="BN318" s="646"/>
      <c r="BO318" s="646"/>
      <c r="BP318" s="646"/>
      <c r="BQ318" s="646"/>
      <c r="BR318" s="646"/>
      <c r="BS318" s="646"/>
      <c r="BT318" s="646"/>
      <c r="BU318" s="646"/>
      <c r="BV318" s="646"/>
      <c r="BW318" s="646"/>
      <c r="BX318" s="646"/>
      <c r="BY318" s="646"/>
    </row>
    <row r="319">
      <c r="A319" s="707" t="s">
        <v>972</v>
      </c>
      <c r="B319" s="7"/>
      <c r="C319" s="7"/>
      <c r="D319" s="7"/>
      <c r="E319" s="7"/>
      <c r="F319" s="5"/>
      <c r="G319" s="716" t="s">
        <v>1046</v>
      </c>
      <c r="H319" s="7"/>
      <c r="I319" s="7"/>
      <c r="J319" s="7"/>
      <c r="K319" s="7"/>
      <c r="L319" s="7"/>
      <c r="M319" s="7"/>
      <c r="N319" s="7"/>
      <c r="O319" s="5"/>
      <c r="P319" s="714"/>
      <c r="Q319" s="714"/>
      <c r="R319" s="746"/>
      <c r="S319" s="710"/>
      <c r="T319" s="710"/>
      <c r="U319" s="708"/>
      <c r="V319" s="714"/>
      <c r="W319" s="714"/>
      <c r="X319" s="714"/>
      <c r="Y319" s="714"/>
      <c r="Z319" s="714"/>
      <c r="AA319" s="710"/>
      <c r="AB319" s="708"/>
      <c r="AC319" s="710"/>
      <c r="AD319" s="714"/>
      <c r="AE319" s="714"/>
      <c r="AF319" s="714"/>
      <c r="AG319" s="710"/>
      <c r="AH319" s="710"/>
      <c r="AI319" s="713"/>
      <c r="AJ319" s="734"/>
      <c r="AK319" s="7"/>
      <c r="AL319" s="7"/>
      <c r="AM319" s="7"/>
      <c r="AN319" s="7"/>
      <c r="AO319" s="5"/>
      <c r="AP319" s="733">
        <v>10.0</v>
      </c>
      <c r="AQ319" s="733">
        <v>8.0</v>
      </c>
      <c r="AR319" s="350"/>
      <c r="AS319" s="350"/>
      <c r="AT319" s="350"/>
      <c r="AU319" s="350"/>
      <c r="AV319" s="350"/>
      <c r="AW319" s="350"/>
      <c r="AX319" s="350"/>
      <c r="AY319" s="350"/>
      <c r="AZ319" s="350"/>
      <c r="BA319" s="350"/>
      <c r="BB319" s="350"/>
      <c r="BC319" s="350"/>
      <c r="BD319" s="350"/>
      <c r="BE319" s="350"/>
      <c r="BF319" s="350"/>
      <c r="BG319" s="350"/>
      <c r="BH319" s="350"/>
      <c r="BI319" s="350"/>
      <c r="BJ319" s="350"/>
      <c r="BK319" s="350"/>
      <c r="BL319" s="646"/>
      <c r="BM319" s="646"/>
      <c r="BN319" s="646"/>
      <c r="BO319" s="646"/>
      <c r="BP319" s="646"/>
      <c r="BQ319" s="646"/>
      <c r="BR319" s="646"/>
      <c r="BS319" s="646"/>
      <c r="BT319" s="646"/>
      <c r="BU319" s="646"/>
      <c r="BV319" s="646"/>
      <c r="BW319" s="646"/>
      <c r="BX319" s="646"/>
      <c r="BY319" s="646"/>
    </row>
    <row r="320">
      <c r="A320" s="716" t="s">
        <v>1047</v>
      </c>
      <c r="B320" s="7"/>
      <c r="C320" s="7"/>
      <c r="D320" s="7"/>
      <c r="E320" s="7"/>
      <c r="F320" s="5"/>
      <c r="G320" s="716" t="s">
        <v>1048</v>
      </c>
      <c r="H320" s="7"/>
      <c r="I320" s="7"/>
      <c r="J320" s="7"/>
      <c r="K320" s="7"/>
      <c r="L320" s="7"/>
      <c r="M320" s="7"/>
      <c r="N320" s="7"/>
      <c r="O320" s="5"/>
      <c r="P320" s="732"/>
      <c r="Q320" s="714"/>
      <c r="R320" s="732"/>
      <c r="S320" s="710"/>
      <c r="T320" s="708"/>
      <c r="U320" s="710"/>
      <c r="V320" s="714"/>
      <c r="W320" s="714"/>
      <c r="X320" s="714"/>
      <c r="Y320" s="714"/>
      <c r="Z320" s="714"/>
      <c r="AA320" s="710"/>
      <c r="AB320" s="710"/>
      <c r="AC320" s="708"/>
      <c r="AD320" s="714"/>
      <c r="AE320" s="714"/>
      <c r="AF320" s="714"/>
      <c r="AG320" s="710"/>
      <c r="AH320" s="710"/>
      <c r="AI320" s="710"/>
      <c r="AJ320" s="734"/>
      <c r="AK320" s="7"/>
      <c r="AL320" s="7"/>
      <c r="AM320" s="7"/>
      <c r="AN320" s="7"/>
      <c r="AO320" s="5"/>
      <c r="AP320" s="733">
        <v>8.0</v>
      </c>
      <c r="AQ320" s="733">
        <v>10.0</v>
      </c>
      <c r="AR320" s="350"/>
      <c r="AS320" s="350"/>
      <c r="AT320" s="350"/>
      <c r="AU320" s="350"/>
      <c r="AV320" s="350"/>
      <c r="AW320" s="350"/>
      <c r="AX320" s="350"/>
      <c r="AY320" s="350"/>
      <c r="AZ320" s="350"/>
      <c r="BA320" s="350"/>
      <c r="BB320" s="350"/>
      <c r="BC320" s="350"/>
      <c r="BD320" s="350"/>
      <c r="BE320" s="350"/>
      <c r="BF320" s="350"/>
      <c r="BG320" s="350"/>
      <c r="BH320" s="350"/>
      <c r="BI320" s="350"/>
      <c r="BJ320" s="350"/>
      <c r="BK320" s="350"/>
      <c r="BL320" s="646"/>
      <c r="BM320" s="646"/>
      <c r="BN320" s="646"/>
      <c r="BO320" s="646"/>
      <c r="BP320" s="646"/>
      <c r="BQ320" s="646"/>
      <c r="BR320" s="646"/>
      <c r="BS320" s="646"/>
      <c r="BT320" s="646"/>
      <c r="BU320" s="646"/>
      <c r="BV320" s="646"/>
      <c r="BW320" s="646"/>
      <c r="BX320" s="646"/>
      <c r="BY320" s="646"/>
    </row>
    <row r="321">
      <c r="A321" s="716" t="s">
        <v>1047</v>
      </c>
      <c r="B321" s="7"/>
      <c r="C321" s="7"/>
      <c r="D321" s="7"/>
      <c r="E321" s="7"/>
      <c r="F321" s="5"/>
      <c r="G321" s="716" t="s">
        <v>1049</v>
      </c>
      <c r="H321" s="7"/>
      <c r="I321" s="7"/>
      <c r="J321" s="7"/>
      <c r="K321" s="7"/>
      <c r="L321" s="7"/>
      <c r="M321" s="7"/>
      <c r="N321" s="7"/>
      <c r="O321" s="5"/>
      <c r="P321" s="732"/>
      <c r="Q321" s="714"/>
      <c r="R321" s="732"/>
      <c r="S321" s="710"/>
      <c r="T321" s="708"/>
      <c r="U321" s="710"/>
      <c r="V321" s="714"/>
      <c r="W321" s="714"/>
      <c r="X321" s="714"/>
      <c r="Y321" s="714"/>
      <c r="Z321" s="714"/>
      <c r="AA321" s="710"/>
      <c r="AB321" s="710"/>
      <c r="AC321" s="708"/>
      <c r="AD321" s="714"/>
      <c r="AE321" s="714"/>
      <c r="AF321" s="714"/>
      <c r="AG321" s="710"/>
      <c r="AH321" s="710"/>
      <c r="AI321" s="710"/>
      <c r="AJ321" s="734"/>
      <c r="AK321" s="7"/>
      <c r="AL321" s="7"/>
      <c r="AM321" s="7"/>
      <c r="AN321" s="7"/>
      <c r="AO321" s="5"/>
      <c r="AP321" s="733">
        <v>8.0</v>
      </c>
      <c r="AQ321" s="733">
        <v>10.0</v>
      </c>
      <c r="AR321" s="350"/>
      <c r="AS321" s="350"/>
      <c r="AT321" s="350"/>
      <c r="AU321" s="350"/>
      <c r="AV321" s="350"/>
      <c r="AW321" s="350"/>
      <c r="AX321" s="350"/>
      <c r="AY321" s="350"/>
      <c r="AZ321" s="350"/>
      <c r="BA321" s="350"/>
      <c r="BB321" s="350"/>
      <c r="BC321" s="350"/>
      <c r="BD321" s="350"/>
      <c r="BE321" s="350"/>
      <c r="BF321" s="350"/>
      <c r="BG321" s="350"/>
      <c r="BH321" s="350"/>
      <c r="BI321" s="350"/>
      <c r="BJ321" s="350"/>
      <c r="BK321" s="350"/>
      <c r="BL321" s="646"/>
      <c r="BM321" s="646"/>
      <c r="BN321" s="646"/>
      <c r="BO321" s="646"/>
      <c r="BP321" s="646"/>
      <c r="BQ321" s="646"/>
      <c r="BR321" s="646"/>
      <c r="BS321" s="646"/>
      <c r="BT321" s="646"/>
      <c r="BU321" s="646"/>
      <c r="BV321" s="646"/>
      <c r="BW321" s="646"/>
      <c r="BX321" s="646"/>
      <c r="BY321" s="646"/>
    </row>
    <row r="322">
      <c r="A322" s="716" t="s">
        <v>1047</v>
      </c>
      <c r="B322" s="7"/>
      <c r="C322" s="7"/>
      <c r="D322" s="7"/>
      <c r="E322" s="7"/>
      <c r="F322" s="5"/>
      <c r="G322" s="716" t="s">
        <v>1050</v>
      </c>
      <c r="H322" s="7"/>
      <c r="I322" s="7"/>
      <c r="J322" s="7"/>
      <c r="K322" s="7"/>
      <c r="L322" s="7"/>
      <c r="M322" s="7"/>
      <c r="N322" s="7"/>
      <c r="O322" s="5"/>
      <c r="P322" s="732"/>
      <c r="Q322" s="714"/>
      <c r="R322" s="732"/>
      <c r="S322" s="710"/>
      <c r="T322" s="708"/>
      <c r="U322" s="710"/>
      <c r="V322" s="714"/>
      <c r="W322" s="714"/>
      <c r="X322" s="714"/>
      <c r="Y322" s="714"/>
      <c r="Z322" s="714"/>
      <c r="AA322" s="710"/>
      <c r="AB322" s="710"/>
      <c r="AC322" s="708"/>
      <c r="AD322" s="714"/>
      <c r="AE322" s="714"/>
      <c r="AF322" s="714"/>
      <c r="AG322" s="710"/>
      <c r="AH322" s="710"/>
      <c r="AI322" s="710"/>
      <c r="AJ322" s="734"/>
      <c r="AK322" s="7"/>
      <c r="AL322" s="7"/>
      <c r="AM322" s="7"/>
      <c r="AN322" s="7"/>
      <c r="AO322" s="5"/>
      <c r="AP322" s="733">
        <v>8.0</v>
      </c>
      <c r="AQ322" s="733">
        <v>10.0</v>
      </c>
      <c r="AR322" s="350"/>
      <c r="AS322" s="350"/>
      <c r="AT322" s="350"/>
      <c r="AU322" s="350"/>
      <c r="AV322" s="350"/>
      <c r="AW322" s="350"/>
      <c r="AX322" s="350"/>
      <c r="AY322" s="350"/>
      <c r="AZ322" s="350"/>
      <c r="BA322" s="350"/>
      <c r="BB322" s="350"/>
      <c r="BC322" s="350"/>
      <c r="BD322" s="350"/>
      <c r="BE322" s="350"/>
      <c r="BF322" s="350"/>
      <c r="BG322" s="350"/>
      <c r="BH322" s="350"/>
      <c r="BI322" s="350"/>
      <c r="BJ322" s="350"/>
      <c r="BK322" s="350"/>
      <c r="BL322" s="646"/>
      <c r="BM322" s="646"/>
      <c r="BN322" s="646"/>
      <c r="BO322" s="646"/>
      <c r="BP322" s="646"/>
      <c r="BQ322" s="646"/>
      <c r="BR322" s="646"/>
      <c r="BS322" s="646"/>
      <c r="BT322" s="646"/>
      <c r="BU322" s="646"/>
      <c r="BV322" s="646"/>
      <c r="BW322" s="646"/>
      <c r="BX322" s="646"/>
      <c r="BY322" s="646"/>
    </row>
    <row r="323">
      <c r="A323" s="716" t="s">
        <v>974</v>
      </c>
      <c r="B323" s="7"/>
      <c r="C323" s="7"/>
      <c r="D323" s="7"/>
      <c r="E323" s="7"/>
      <c r="F323" s="5"/>
      <c r="G323" s="716" t="s">
        <v>1051</v>
      </c>
      <c r="H323" s="7"/>
      <c r="I323" s="7"/>
      <c r="J323" s="7"/>
      <c r="K323" s="7"/>
      <c r="L323" s="7"/>
      <c r="M323" s="7"/>
      <c r="N323" s="7"/>
      <c r="O323" s="5"/>
      <c r="P323" s="714"/>
      <c r="Q323" s="732"/>
      <c r="R323" s="741"/>
      <c r="S323" s="710"/>
      <c r="T323" s="708"/>
      <c r="U323" s="710"/>
      <c r="V323" s="714"/>
      <c r="W323" s="714"/>
      <c r="X323" s="732"/>
      <c r="Y323" s="714"/>
      <c r="Z323" s="714"/>
      <c r="AA323" s="710"/>
      <c r="AB323" s="708"/>
      <c r="AC323" s="710"/>
      <c r="AD323" s="714"/>
      <c r="AE323" s="714"/>
      <c r="AF323" s="732"/>
      <c r="AG323" s="710"/>
      <c r="AH323" s="710"/>
      <c r="AI323" s="710"/>
      <c r="AJ323" s="734"/>
      <c r="AK323" s="7"/>
      <c r="AL323" s="7"/>
      <c r="AM323" s="7"/>
      <c r="AN323" s="7"/>
      <c r="AO323" s="5"/>
      <c r="AP323" s="733">
        <v>10.0</v>
      </c>
      <c r="AQ323" s="733">
        <v>8.0</v>
      </c>
      <c r="AR323" s="350"/>
      <c r="AS323" s="350"/>
      <c r="AT323" s="350"/>
      <c r="AU323" s="350"/>
      <c r="AV323" s="350"/>
      <c r="AW323" s="350"/>
      <c r="AX323" s="350"/>
      <c r="AY323" s="350"/>
      <c r="AZ323" s="350"/>
      <c r="BA323" s="350"/>
      <c r="BB323" s="350"/>
      <c r="BC323" s="350"/>
      <c r="BD323" s="350"/>
      <c r="BE323" s="350"/>
      <c r="BF323" s="350"/>
      <c r="BG323" s="350"/>
      <c r="BH323" s="350"/>
      <c r="BI323" s="350"/>
      <c r="BJ323" s="350"/>
      <c r="BK323" s="350"/>
      <c r="BL323" s="646"/>
      <c r="BM323" s="646"/>
      <c r="BN323" s="646"/>
      <c r="BO323" s="646"/>
      <c r="BP323" s="646"/>
      <c r="BQ323" s="646"/>
      <c r="BR323" s="646"/>
      <c r="BS323" s="646"/>
      <c r="BT323" s="646"/>
      <c r="BU323" s="646"/>
      <c r="BV323" s="646"/>
      <c r="BW323" s="646"/>
      <c r="BX323" s="646"/>
      <c r="BY323" s="646"/>
    </row>
    <row r="324">
      <c r="A324" s="716" t="s">
        <v>974</v>
      </c>
      <c r="B324" s="7"/>
      <c r="C324" s="7"/>
      <c r="D324" s="7"/>
      <c r="E324" s="7"/>
      <c r="F324" s="5"/>
      <c r="G324" s="716" t="s">
        <v>1052</v>
      </c>
      <c r="H324" s="7"/>
      <c r="I324" s="7"/>
      <c r="J324" s="7"/>
      <c r="K324" s="7"/>
      <c r="L324" s="7"/>
      <c r="M324" s="7"/>
      <c r="N324" s="7"/>
      <c r="O324" s="5"/>
      <c r="P324" s="714"/>
      <c r="Q324" s="732"/>
      <c r="R324" s="714"/>
      <c r="S324" s="710"/>
      <c r="T324" s="708"/>
      <c r="U324" s="710"/>
      <c r="V324" s="714"/>
      <c r="W324" s="714"/>
      <c r="X324" s="732"/>
      <c r="Y324" s="714"/>
      <c r="Z324" s="714"/>
      <c r="AA324" s="710"/>
      <c r="AB324" s="708"/>
      <c r="AC324" s="710"/>
      <c r="AD324" s="714"/>
      <c r="AE324" s="714"/>
      <c r="AF324" s="732"/>
      <c r="AG324" s="710"/>
      <c r="AH324" s="710"/>
      <c r="AI324" s="710"/>
      <c r="AJ324" s="734"/>
      <c r="AK324" s="7"/>
      <c r="AL324" s="7"/>
      <c r="AM324" s="7"/>
      <c r="AN324" s="7"/>
      <c r="AO324" s="5"/>
      <c r="AP324" s="733">
        <v>10.0</v>
      </c>
      <c r="AQ324" s="733">
        <v>8.0</v>
      </c>
      <c r="AR324" s="350"/>
      <c r="AS324" s="350"/>
      <c r="AT324" s="350"/>
      <c r="AU324" s="350"/>
      <c r="AV324" s="350"/>
      <c r="AW324" s="350"/>
      <c r="AX324" s="350"/>
      <c r="AY324" s="350"/>
      <c r="AZ324" s="350"/>
      <c r="BA324" s="350"/>
      <c r="BB324" s="350"/>
      <c r="BC324" s="350"/>
      <c r="BD324" s="350"/>
      <c r="BE324" s="350"/>
      <c r="BF324" s="350"/>
      <c r="BG324" s="350"/>
      <c r="BH324" s="350"/>
      <c r="BI324" s="350"/>
      <c r="BJ324" s="350"/>
      <c r="BK324" s="350"/>
      <c r="BL324" s="646"/>
      <c r="BM324" s="646"/>
      <c r="BN324" s="646"/>
      <c r="BO324" s="646"/>
      <c r="BP324" s="646"/>
      <c r="BQ324" s="646"/>
      <c r="BR324" s="646"/>
      <c r="BS324" s="646"/>
      <c r="BT324" s="646"/>
      <c r="BU324" s="646"/>
      <c r="BV324" s="646"/>
      <c r="BW324" s="646"/>
      <c r="BX324" s="646"/>
      <c r="BY324" s="646"/>
    </row>
    <row r="325">
      <c r="A325" s="716" t="s">
        <v>974</v>
      </c>
      <c r="B325" s="7"/>
      <c r="C325" s="7"/>
      <c r="D325" s="7"/>
      <c r="E325" s="7"/>
      <c r="F325" s="5"/>
      <c r="G325" s="716" t="s">
        <v>1053</v>
      </c>
      <c r="H325" s="7"/>
      <c r="I325" s="7"/>
      <c r="J325" s="7"/>
      <c r="K325" s="7"/>
      <c r="L325" s="7"/>
      <c r="M325" s="7"/>
      <c r="N325" s="7"/>
      <c r="O325" s="5"/>
      <c r="P325" s="714"/>
      <c r="Q325" s="732"/>
      <c r="R325" s="714"/>
      <c r="S325" s="710"/>
      <c r="T325" s="708"/>
      <c r="U325" s="710"/>
      <c r="V325" s="714"/>
      <c r="W325" s="714"/>
      <c r="X325" s="732"/>
      <c r="Y325" s="714"/>
      <c r="Z325" s="714"/>
      <c r="AA325" s="710"/>
      <c r="AB325" s="708"/>
      <c r="AC325" s="710"/>
      <c r="AD325" s="714"/>
      <c r="AE325" s="714"/>
      <c r="AF325" s="732"/>
      <c r="AG325" s="710"/>
      <c r="AH325" s="710"/>
      <c r="AI325" s="710"/>
      <c r="AJ325" s="734"/>
      <c r="AK325" s="7"/>
      <c r="AL325" s="7"/>
      <c r="AM325" s="7"/>
      <c r="AN325" s="7"/>
      <c r="AO325" s="5"/>
      <c r="AP325" s="733">
        <v>10.0</v>
      </c>
      <c r="AQ325" s="733">
        <v>8.0</v>
      </c>
      <c r="AR325" s="350"/>
      <c r="AS325" s="350"/>
      <c r="AT325" s="350"/>
      <c r="AU325" s="350"/>
      <c r="AV325" s="350"/>
      <c r="AW325" s="350"/>
      <c r="AX325" s="350"/>
      <c r="AY325" s="350"/>
      <c r="AZ325" s="350"/>
      <c r="BA325" s="350"/>
      <c r="BB325" s="350"/>
      <c r="BC325" s="350"/>
      <c r="BD325" s="350"/>
      <c r="BE325" s="350"/>
      <c r="BF325" s="350"/>
      <c r="BG325" s="350"/>
      <c r="BH325" s="350"/>
      <c r="BI325" s="350"/>
      <c r="BJ325" s="350"/>
      <c r="BK325" s="350"/>
      <c r="BL325" s="646"/>
      <c r="BM325" s="646"/>
      <c r="BN325" s="646"/>
      <c r="BO325" s="646"/>
      <c r="BP325" s="646"/>
      <c r="BQ325" s="646"/>
      <c r="BR325" s="646"/>
      <c r="BS325" s="646"/>
      <c r="BT325" s="646"/>
      <c r="BU325" s="646"/>
      <c r="BV325" s="646"/>
      <c r="BW325" s="646"/>
      <c r="BX325" s="646"/>
      <c r="BY325" s="646"/>
    </row>
    <row r="326">
      <c r="A326" s="716" t="s">
        <v>974</v>
      </c>
      <c r="B326" s="7"/>
      <c r="C326" s="7"/>
      <c r="D326" s="7"/>
      <c r="E326" s="7"/>
      <c r="F326" s="5"/>
      <c r="G326" s="716" t="s">
        <v>1054</v>
      </c>
      <c r="H326" s="7"/>
      <c r="I326" s="7"/>
      <c r="J326" s="7"/>
      <c r="K326" s="7"/>
      <c r="L326" s="7"/>
      <c r="M326" s="7"/>
      <c r="N326" s="7"/>
      <c r="O326" s="5"/>
      <c r="P326" s="714"/>
      <c r="Q326" s="732"/>
      <c r="R326" s="714"/>
      <c r="S326" s="710"/>
      <c r="T326" s="708"/>
      <c r="U326" s="710"/>
      <c r="V326" s="714"/>
      <c r="W326" s="714"/>
      <c r="X326" s="732"/>
      <c r="Y326" s="714"/>
      <c r="Z326" s="714"/>
      <c r="AA326" s="710"/>
      <c r="AB326" s="708"/>
      <c r="AC326" s="710"/>
      <c r="AD326" s="714"/>
      <c r="AE326" s="714"/>
      <c r="AF326" s="732"/>
      <c r="AG326" s="710"/>
      <c r="AH326" s="710"/>
      <c r="AI326" s="710"/>
      <c r="AJ326" s="734"/>
      <c r="AK326" s="7"/>
      <c r="AL326" s="7"/>
      <c r="AM326" s="7"/>
      <c r="AN326" s="7"/>
      <c r="AO326" s="5"/>
      <c r="AP326" s="733">
        <v>10.0</v>
      </c>
      <c r="AQ326" s="733">
        <v>8.0</v>
      </c>
      <c r="AR326" s="350"/>
      <c r="AS326" s="350"/>
      <c r="AT326" s="350"/>
      <c r="AU326" s="350"/>
      <c r="AV326" s="350"/>
      <c r="AW326" s="350"/>
      <c r="AX326" s="350"/>
      <c r="AY326" s="350"/>
      <c r="AZ326" s="350"/>
      <c r="BA326" s="350"/>
      <c r="BB326" s="350"/>
      <c r="BC326" s="350"/>
      <c r="BD326" s="350"/>
      <c r="BE326" s="350"/>
      <c r="BF326" s="350"/>
      <c r="BG326" s="350"/>
      <c r="BH326" s="350"/>
      <c r="BI326" s="350"/>
      <c r="BJ326" s="350"/>
      <c r="BK326" s="350"/>
      <c r="BL326" s="646"/>
      <c r="BM326" s="646"/>
      <c r="BN326" s="646"/>
      <c r="BO326" s="646"/>
      <c r="BP326" s="646"/>
      <c r="BQ326" s="646"/>
      <c r="BR326" s="646"/>
      <c r="BS326" s="646"/>
      <c r="BT326" s="646"/>
      <c r="BU326" s="646"/>
      <c r="BV326" s="646"/>
      <c r="BW326" s="646"/>
      <c r="BX326" s="646"/>
      <c r="BY326" s="646"/>
    </row>
    <row r="327">
      <c r="A327" s="716" t="s">
        <v>1055</v>
      </c>
      <c r="B327" s="7"/>
      <c r="C327" s="7"/>
      <c r="D327" s="7"/>
      <c r="E327" s="7"/>
      <c r="F327" s="5"/>
      <c r="G327" s="716" t="s">
        <v>1056</v>
      </c>
      <c r="H327" s="7"/>
      <c r="I327" s="7"/>
      <c r="J327" s="7"/>
      <c r="K327" s="7"/>
      <c r="L327" s="7"/>
      <c r="M327" s="7"/>
      <c r="N327" s="7"/>
      <c r="O327" s="5"/>
      <c r="P327" s="714"/>
      <c r="Q327" s="714"/>
      <c r="R327" s="732"/>
      <c r="S327" s="710"/>
      <c r="T327" s="710"/>
      <c r="U327" s="708"/>
      <c r="V327" s="714"/>
      <c r="W327" s="714"/>
      <c r="X327" s="732"/>
      <c r="Y327" s="714"/>
      <c r="Z327" s="714"/>
      <c r="AA327" s="710"/>
      <c r="AB327" s="710"/>
      <c r="AC327" s="708"/>
      <c r="AD327" s="714"/>
      <c r="AE327" s="714"/>
      <c r="AF327" s="732"/>
      <c r="AG327" s="710"/>
      <c r="AH327" s="710"/>
      <c r="AI327" s="713"/>
      <c r="AJ327" s="734"/>
      <c r="AK327" s="7"/>
      <c r="AL327" s="7"/>
      <c r="AM327" s="7"/>
      <c r="AN327" s="7"/>
      <c r="AO327" s="5"/>
      <c r="AP327" s="733">
        <v>8.0</v>
      </c>
      <c r="AQ327" s="733">
        <v>10.0</v>
      </c>
      <c r="AR327" s="350"/>
      <c r="AS327" s="350"/>
      <c r="AT327" s="350"/>
      <c r="AU327" s="350"/>
      <c r="AV327" s="350"/>
      <c r="AW327" s="350"/>
      <c r="AX327" s="350"/>
      <c r="AY327" s="350"/>
      <c r="AZ327" s="350"/>
      <c r="BA327" s="350"/>
      <c r="BB327" s="350"/>
      <c r="BC327" s="350"/>
      <c r="BD327" s="350"/>
      <c r="BE327" s="350"/>
      <c r="BF327" s="350"/>
      <c r="BG327" s="350"/>
      <c r="BH327" s="350"/>
      <c r="BI327" s="350"/>
      <c r="BJ327" s="350"/>
      <c r="BK327" s="350"/>
      <c r="BL327" s="646"/>
      <c r="BM327" s="646"/>
      <c r="BN327" s="646"/>
      <c r="BO327" s="646"/>
      <c r="BP327" s="646"/>
      <c r="BQ327" s="646"/>
      <c r="BR327" s="646"/>
      <c r="BS327" s="646"/>
      <c r="BT327" s="646"/>
      <c r="BU327" s="646"/>
      <c r="BV327" s="646"/>
      <c r="BW327" s="646"/>
      <c r="BX327" s="646"/>
      <c r="BY327" s="646"/>
    </row>
    <row r="328">
      <c r="A328" s="716" t="s">
        <v>1055</v>
      </c>
      <c r="B328" s="7"/>
      <c r="C328" s="7"/>
      <c r="D328" s="7"/>
      <c r="E328" s="7"/>
      <c r="F328" s="5"/>
      <c r="G328" s="716" t="s">
        <v>1057</v>
      </c>
      <c r="H328" s="7"/>
      <c r="I328" s="7"/>
      <c r="J328" s="7"/>
      <c r="K328" s="7"/>
      <c r="L328" s="7"/>
      <c r="M328" s="7"/>
      <c r="N328" s="7"/>
      <c r="O328" s="5"/>
      <c r="P328" s="714"/>
      <c r="Q328" s="714"/>
      <c r="R328" s="732"/>
      <c r="S328" s="710"/>
      <c r="T328" s="710"/>
      <c r="U328" s="708"/>
      <c r="V328" s="714"/>
      <c r="W328" s="714"/>
      <c r="X328" s="732"/>
      <c r="Y328" s="714"/>
      <c r="Z328" s="714"/>
      <c r="AA328" s="710"/>
      <c r="AB328" s="710"/>
      <c r="AC328" s="708"/>
      <c r="AD328" s="714"/>
      <c r="AE328" s="714"/>
      <c r="AF328" s="732"/>
      <c r="AG328" s="710"/>
      <c r="AH328" s="710"/>
      <c r="AI328" s="713"/>
      <c r="AJ328" s="734"/>
      <c r="AK328" s="7"/>
      <c r="AL328" s="7"/>
      <c r="AM328" s="7"/>
      <c r="AN328" s="7"/>
      <c r="AO328" s="5"/>
      <c r="AP328" s="733">
        <v>8.0</v>
      </c>
      <c r="AQ328" s="733">
        <v>10.0</v>
      </c>
      <c r="AR328" s="350"/>
      <c r="AS328" s="350"/>
      <c r="AT328" s="350"/>
      <c r="AU328" s="350"/>
      <c r="AV328" s="350"/>
      <c r="AW328" s="350"/>
      <c r="AX328" s="350"/>
      <c r="AY328" s="350"/>
      <c r="AZ328" s="350"/>
      <c r="BA328" s="350"/>
      <c r="BB328" s="350"/>
      <c r="BC328" s="350"/>
      <c r="BD328" s="350"/>
      <c r="BE328" s="350"/>
      <c r="BF328" s="350"/>
      <c r="BG328" s="350"/>
      <c r="BH328" s="350"/>
      <c r="BI328" s="350"/>
      <c r="BJ328" s="350"/>
      <c r="BK328" s="350"/>
      <c r="BL328" s="646"/>
      <c r="BM328" s="646"/>
      <c r="BN328" s="646"/>
      <c r="BO328" s="646"/>
      <c r="BP328" s="646"/>
      <c r="BQ328" s="646"/>
      <c r="BR328" s="646"/>
      <c r="BS328" s="646"/>
      <c r="BT328" s="646"/>
      <c r="BU328" s="646"/>
      <c r="BV328" s="646"/>
      <c r="BW328" s="646"/>
      <c r="BX328" s="646"/>
      <c r="BY328" s="646"/>
    </row>
    <row r="329">
      <c r="A329" s="716" t="s">
        <v>1055</v>
      </c>
      <c r="B329" s="7"/>
      <c r="C329" s="7"/>
      <c r="D329" s="7"/>
      <c r="E329" s="7"/>
      <c r="F329" s="5"/>
      <c r="G329" s="716" t="s">
        <v>1058</v>
      </c>
      <c r="H329" s="7"/>
      <c r="I329" s="7"/>
      <c r="J329" s="7"/>
      <c r="K329" s="7"/>
      <c r="L329" s="7"/>
      <c r="M329" s="7"/>
      <c r="N329" s="7"/>
      <c r="O329" s="5"/>
      <c r="P329" s="714"/>
      <c r="Q329" s="714"/>
      <c r="R329" s="732"/>
      <c r="S329" s="710"/>
      <c r="T329" s="710"/>
      <c r="U329" s="708"/>
      <c r="V329" s="714"/>
      <c r="W329" s="714"/>
      <c r="X329" s="732"/>
      <c r="Y329" s="714"/>
      <c r="Z329" s="714"/>
      <c r="AA329" s="710"/>
      <c r="AB329" s="710"/>
      <c r="AC329" s="708"/>
      <c r="AD329" s="714"/>
      <c r="AE329" s="714"/>
      <c r="AF329" s="732"/>
      <c r="AG329" s="710"/>
      <c r="AH329" s="710"/>
      <c r="AI329" s="713"/>
      <c r="AJ329" s="734"/>
      <c r="AK329" s="7"/>
      <c r="AL329" s="7"/>
      <c r="AM329" s="7"/>
      <c r="AN329" s="7"/>
      <c r="AO329" s="5"/>
      <c r="AP329" s="733">
        <v>8.0</v>
      </c>
      <c r="AQ329" s="733">
        <v>10.0</v>
      </c>
      <c r="AR329" s="350"/>
      <c r="AS329" s="350"/>
      <c r="AT329" s="350"/>
      <c r="AU329" s="350"/>
      <c r="AV329" s="350"/>
      <c r="AW329" s="350"/>
      <c r="AX329" s="350"/>
      <c r="AY329" s="350"/>
      <c r="AZ329" s="350"/>
      <c r="BA329" s="350"/>
      <c r="BB329" s="350"/>
      <c r="BC329" s="350"/>
      <c r="BD329" s="350"/>
      <c r="BE329" s="350"/>
      <c r="BF329" s="350"/>
      <c r="BG329" s="350"/>
      <c r="BH329" s="350"/>
      <c r="BI329" s="350"/>
      <c r="BJ329" s="350"/>
      <c r="BK329" s="350"/>
      <c r="BL329" s="646"/>
      <c r="BM329" s="646"/>
      <c r="BN329" s="646"/>
      <c r="BO329" s="646"/>
      <c r="BP329" s="646"/>
      <c r="BQ329" s="646"/>
      <c r="BR329" s="646"/>
      <c r="BS329" s="646"/>
      <c r="BT329" s="646"/>
      <c r="BU329" s="646"/>
      <c r="BV329" s="646"/>
      <c r="BW329" s="646"/>
      <c r="BX329" s="646"/>
      <c r="BY329" s="646"/>
    </row>
    <row r="330">
      <c r="A330" s="716" t="s">
        <v>1055</v>
      </c>
      <c r="B330" s="7"/>
      <c r="C330" s="7"/>
      <c r="D330" s="7"/>
      <c r="E330" s="7"/>
      <c r="F330" s="5"/>
      <c r="G330" s="716" t="s">
        <v>1059</v>
      </c>
      <c r="H330" s="7"/>
      <c r="I330" s="7"/>
      <c r="J330" s="7"/>
      <c r="K330" s="7"/>
      <c r="L330" s="7"/>
      <c r="M330" s="7"/>
      <c r="N330" s="7"/>
      <c r="O330" s="5"/>
      <c r="P330" s="714"/>
      <c r="Q330" s="714"/>
      <c r="R330" s="732"/>
      <c r="S330" s="710"/>
      <c r="T330" s="710"/>
      <c r="U330" s="708"/>
      <c r="V330" s="714"/>
      <c r="W330" s="714"/>
      <c r="X330" s="732"/>
      <c r="Y330" s="714"/>
      <c r="Z330" s="714"/>
      <c r="AA330" s="710"/>
      <c r="AB330" s="710"/>
      <c r="AC330" s="708"/>
      <c r="AD330" s="714"/>
      <c r="AE330" s="714"/>
      <c r="AF330" s="732"/>
      <c r="AG330" s="710"/>
      <c r="AH330" s="710"/>
      <c r="AI330" s="713"/>
      <c r="AJ330" s="734"/>
      <c r="AK330" s="7"/>
      <c r="AL330" s="7"/>
      <c r="AM330" s="7"/>
      <c r="AN330" s="7"/>
      <c r="AO330" s="5"/>
      <c r="AP330" s="733">
        <v>8.0</v>
      </c>
      <c r="AQ330" s="733">
        <v>10.0</v>
      </c>
      <c r="AR330" s="350"/>
      <c r="AS330" s="350"/>
      <c r="AT330" s="350"/>
      <c r="AU330" s="350"/>
      <c r="AV330" s="350"/>
      <c r="AW330" s="350"/>
      <c r="AX330" s="350"/>
      <c r="AY330" s="350"/>
      <c r="AZ330" s="350"/>
      <c r="BA330" s="350"/>
      <c r="BB330" s="350"/>
      <c r="BC330" s="350"/>
      <c r="BD330" s="350"/>
      <c r="BE330" s="350"/>
      <c r="BF330" s="350"/>
      <c r="BG330" s="350"/>
      <c r="BH330" s="350"/>
      <c r="BI330" s="350"/>
      <c r="BJ330" s="350"/>
      <c r="BK330" s="350"/>
      <c r="BL330" s="646"/>
      <c r="BM330" s="646"/>
      <c r="BN330" s="646"/>
      <c r="BO330" s="646"/>
      <c r="BP330" s="646"/>
      <c r="BQ330" s="646"/>
      <c r="BR330" s="646"/>
      <c r="BS330" s="646"/>
      <c r="BT330" s="646"/>
      <c r="BU330" s="646"/>
      <c r="BV330" s="646"/>
      <c r="BW330" s="646"/>
      <c r="BX330" s="646"/>
      <c r="BY330" s="646"/>
    </row>
    <row r="331">
      <c r="A331" s="716" t="s">
        <v>1055</v>
      </c>
      <c r="B331" s="7"/>
      <c r="C331" s="7"/>
      <c r="D331" s="7"/>
      <c r="E331" s="7"/>
      <c r="F331" s="5"/>
      <c r="G331" s="716" t="s">
        <v>1060</v>
      </c>
      <c r="H331" s="7"/>
      <c r="I331" s="7"/>
      <c r="J331" s="7"/>
      <c r="K331" s="7"/>
      <c r="L331" s="7"/>
      <c r="M331" s="7"/>
      <c r="N331" s="7"/>
      <c r="O331" s="5"/>
      <c r="P331" s="714"/>
      <c r="Q331" s="714"/>
      <c r="R331" s="732"/>
      <c r="S331" s="710"/>
      <c r="T331" s="710"/>
      <c r="U331" s="708"/>
      <c r="V331" s="714"/>
      <c r="W331" s="714"/>
      <c r="X331" s="732"/>
      <c r="Y331" s="714"/>
      <c r="Z331" s="714"/>
      <c r="AA331" s="710"/>
      <c r="AB331" s="710"/>
      <c r="AC331" s="708"/>
      <c r="AD331" s="714"/>
      <c r="AE331" s="714"/>
      <c r="AF331" s="732"/>
      <c r="AG331" s="710"/>
      <c r="AH331" s="710"/>
      <c r="AI331" s="713"/>
      <c r="AJ331" s="734"/>
      <c r="AK331" s="7"/>
      <c r="AL331" s="7"/>
      <c r="AM331" s="7"/>
      <c r="AN331" s="7"/>
      <c r="AO331" s="5"/>
      <c r="AP331" s="733">
        <v>8.0</v>
      </c>
      <c r="AQ331" s="733">
        <v>10.0</v>
      </c>
      <c r="AR331" s="350"/>
      <c r="AS331" s="350"/>
      <c r="AT331" s="350"/>
      <c r="AU331" s="350"/>
      <c r="AV331" s="350"/>
      <c r="AW331" s="350"/>
      <c r="AX331" s="350"/>
      <c r="AY331" s="350"/>
      <c r="AZ331" s="350"/>
      <c r="BA331" s="350"/>
      <c r="BB331" s="350"/>
      <c r="BC331" s="350"/>
      <c r="BD331" s="350"/>
      <c r="BE331" s="350"/>
      <c r="BF331" s="350"/>
      <c r="BG331" s="350"/>
      <c r="BH331" s="350"/>
      <c r="BI331" s="350"/>
      <c r="BJ331" s="350"/>
      <c r="BK331" s="350"/>
      <c r="BL331" s="646"/>
      <c r="BM331" s="646"/>
      <c r="BN331" s="646"/>
      <c r="BO331" s="646"/>
      <c r="BP331" s="646"/>
      <c r="BQ331" s="646"/>
      <c r="BR331" s="646"/>
      <c r="BS331" s="646"/>
      <c r="BT331" s="646"/>
      <c r="BU331" s="646"/>
      <c r="BV331" s="646"/>
      <c r="BW331" s="646"/>
      <c r="BX331" s="646"/>
      <c r="BY331" s="646"/>
    </row>
    <row r="332">
      <c r="A332" s="747" t="s">
        <v>966</v>
      </c>
      <c r="B332" s="7"/>
      <c r="C332" s="7"/>
      <c r="D332" s="7"/>
      <c r="E332" s="7"/>
      <c r="F332" s="5"/>
      <c r="G332" s="748" t="s">
        <v>1061</v>
      </c>
      <c r="H332" s="7"/>
      <c r="I332" s="7"/>
      <c r="J332" s="7"/>
      <c r="K332" s="7"/>
      <c r="L332" s="7"/>
      <c r="M332" s="7"/>
      <c r="N332" s="7"/>
      <c r="O332" s="5"/>
      <c r="P332" s="749"/>
      <c r="Q332" s="750"/>
      <c r="R332" s="749"/>
      <c r="S332" s="751"/>
      <c r="T332" s="751"/>
      <c r="U332" s="752"/>
      <c r="V332" s="749"/>
      <c r="W332" s="749"/>
      <c r="X332" s="749"/>
      <c r="Y332" s="750"/>
      <c r="Z332" s="749"/>
      <c r="AA332" s="751"/>
      <c r="AB332" s="751"/>
      <c r="AC332" s="752"/>
      <c r="AD332" s="749"/>
      <c r="AE332" s="749"/>
      <c r="AF332" s="749"/>
      <c r="AG332" s="751"/>
      <c r="AH332" s="751"/>
      <c r="AI332" s="751"/>
      <c r="AJ332" s="734"/>
      <c r="AK332" s="7"/>
      <c r="AL332" s="7"/>
      <c r="AM332" s="7"/>
      <c r="AN332" s="7"/>
      <c r="AO332" s="5"/>
      <c r="AP332" s="350"/>
      <c r="AQ332" s="350"/>
      <c r="AR332" s="350"/>
      <c r="AS332" s="350"/>
      <c r="AT332" s="350"/>
      <c r="AU332" s="350"/>
      <c r="AV332" s="350"/>
      <c r="AW332" s="350"/>
      <c r="AX332" s="350"/>
      <c r="AY332" s="350"/>
      <c r="AZ332" s="350"/>
      <c r="BA332" s="350"/>
      <c r="BB332" s="350"/>
      <c r="BC332" s="350"/>
      <c r="BD332" s="350"/>
      <c r="BE332" s="350"/>
      <c r="BF332" s="350"/>
      <c r="BG332" s="350"/>
      <c r="BH332" s="350"/>
      <c r="BI332" s="350"/>
      <c r="BJ332" s="350"/>
      <c r="BK332" s="350"/>
      <c r="BL332" s="646"/>
      <c r="BM332" s="646"/>
      <c r="BN332" s="646"/>
      <c r="BO332" s="646"/>
      <c r="BP332" s="646"/>
      <c r="BQ332" s="646"/>
      <c r="BR332" s="646"/>
      <c r="BS332" s="646"/>
      <c r="BT332" s="646"/>
      <c r="BU332" s="646"/>
      <c r="BV332" s="646"/>
      <c r="BW332" s="646"/>
      <c r="BX332" s="646"/>
      <c r="BY332" s="646"/>
    </row>
    <row r="333">
      <c r="A333" s="747" t="s">
        <v>966</v>
      </c>
      <c r="B333" s="7"/>
      <c r="C333" s="7"/>
      <c r="D333" s="7"/>
      <c r="E333" s="7"/>
      <c r="F333" s="5"/>
      <c r="G333" s="748" t="s">
        <v>1062</v>
      </c>
      <c r="H333" s="7"/>
      <c r="I333" s="7"/>
      <c r="J333" s="7"/>
      <c r="K333" s="7"/>
      <c r="L333" s="7"/>
      <c r="M333" s="7"/>
      <c r="N333" s="7"/>
      <c r="O333" s="5"/>
      <c r="P333" s="749"/>
      <c r="Q333" s="750"/>
      <c r="R333" s="749"/>
      <c r="S333" s="751"/>
      <c r="T333" s="751"/>
      <c r="U333" s="752"/>
      <c r="V333" s="749"/>
      <c r="W333" s="749"/>
      <c r="X333" s="749"/>
      <c r="Y333" s="750"/>
      <c r="Z333" s="749"/>
      <c r="AA333" s="751"/>
      <c r="AB333" s="751"/>
      <c r="AC333" s="752"/>
      <c r="AD333" s="749"/>
      <c r="AE333" s="749"/>
      <c r="AF333" s="749"/>
      <c r="AG333" s="751"/>
      <c r="AH333" s="751"/>
      <c r="AI333" s="751"/>
      <c r="AJ333" s="734"/>
      <c r="AK333" s="7"/>
      <c r="AL333" s="7"/>
      <c r="AM333" s="7"/>
      <c r="AN333" s="7"/>
      <c r="AO333" s="5"/>
      <c r="AP333" s="350"/>
      <c r="AQ333" s="350"/>
      <c r="AR333" s="350"/>
      <c r="AS333" s="350"/>
      <c r="AT333" s="350"/>
      <c r="AU333" s="350"/>
      <c r="AV333" s="350"/>
      <c r="AW333" s="350"/>
      <c r="AX333" s="350"/>
      <c r="AY333" s="350"/>
      <c r="AZ333" s="350"/>
      <c r="BA333" s="350"/>
      <c r="BB333" s="350"/>
      <c r="BC333" s="350"/>
      <c r="BD333" s="350"/>
      <c r="BE333" s="350"/>
      <c r="BF333" s="350"/>
      <c r="BG333" s="350"/>
      <c r="BH333" s="350"/>
      <c r="BI333" s="350"/>
      <c r="BJ333" s="350"/>
      <c r="BK333" s="350"/>
      <c r="BL333" s="646"/>
      <c r="BM333" s="646"/>
      <c r="BN333" s="646"/>
      <c r="BO333" s="646"/>
      <c r="BP333" s="646"/>
      <c r="BQ333" s="646"/>
      <c r="BR333" s="646"/>
      <c r="BS333" s="646"/>
      <c r="BT333" s="646"/>
      <c r="BU333" s="646"/>
      <c r="BV333" s="646"/>
      <c r="BW333" s="646"/>
      <c r="BX333" s="646"/>
      <c r="BY333" s="646"/>
    </row>
    <row r="334">
      <c r="A334" s="747" t="s">
        <v>966</v>
      </c>
      <c r="B334" s="7"/>
      <c r="C334" s="7"/>
      <c r="D334" s="7"/>
      <c r="E334" s="7"/>
      <c r="F334" s="5"/>
      <c r="G334" s="748" t="s">
        <v>1063</v>
      </c>
      <c r="H334" s="7"/>
      <c r="I334" s="7"/>
      <c r="J334" s="7"/>
      <c r="K334" s="7"/>
      <c r="L334" s="7"/>
      <c r="M334" s="7"/>
      <c r="N334" s="7"/>
      <c r="O334" s="5"/>
      <c r="P334" s="749"/>
      <c r="Q334" s="750"/>
      <c r="R334" s="749"/>
      <c r="S334" s="751"/>
      <c r="T334" s="751"/>
      <c r="U334" s="753"/>
      <c r="V334" s="749"/>
      <c r="W334" s="749"/>
      <c r="X334" s="749"/>
      <c r="Y334" s="753"/>
      <c r="Z334" s="749"/>
      <c r="AA334" s="751"/>
      <c r="AB334" s="751"/>
      <c r="AC334" s="752"/>
      <c r="AD334" s="749"/>
      <c r="AE334" s="749"/>
      <c r="AF334" s="749"/>
      <c r="AG334" s="751"/>
      <c r="AH334" s="751"/>
      <c r="AI334" s="751"/>
      <c r="AJ334" s="734"/>
      <c r="AK334" s="7"/>
      <c r="AL334" s="7"/>
      <c r="AM334" s="7"/>
      <c r="AN334" s="7"/>
      <c r="AO334" s="5"/>
      <c r="AP334" s="350"/>
      <c r="AQ334" s="350"/>
      <c r="AR334" s="350"/>
      <c r="AS334" s="350"/>
      <c r="AT334" s="350"/>
      <c r="AU334" s="350"/>
      <c r="AV334" s="350"/>
      <c r="AW334" s="350"/>
      <c r="AX334" s="350"/>
      <c r="AY334" s="350"/>
      <c r="AZ334" s="350"/>
      <c r="BA334" s="350"/>
      <c r="BB334" s="350"/>
      <c r="BC334" s="350"/>
      <c r="BD334" s="350"/>
      <c r="BE334" s="350"/>
      <c r="BF334" s="350"/>
      <c r="BG334" s="350"/>
      <c r="BH334" s="350"/>
      <c r="BI334" s="350"/>
      <c r="BJ334" s="350"/>
      <c r="BK334" s="350"/>
      <c r="BL334" s="646"/>
      <c r="BM334" s="646"/>
      <c r="BN334" s="646"/>
      <c r="BO334" s="646"/>
      <c r="BP334" s="646"/>
      <c r="BQ334" s="646"/>
      <c r="BR334" s="646"/>
      <c r="BS334" s="646"/>
      <c r="BT334" s="646"/>
      <c r="BU334" s="646"/>
      <c r="BV334" s="646"/>
      <c r="BW334" s="646"/>
      <c r="BX334" s="646"/>
      <c r="BY334" s="646"/>
    </row>
    <row r="335">
      <c r="A335" s="747" t="s">
        <v>966</v>
      </c>
      <c r="B335" s="7"/>
      <c r="C335" s="7"/>
      <c r="D335" s="7"/>
      <c r="E335" s="7"/>
      <c r="F335" s="5"/>
      <c r="G335" s="748" t="s">
        <v>1064</v>
      </c>
      <c r="H335" s="7"/>
      <c r="I335" s="7"/>
      <c r="J335" s="7"/>
      <c r="K335" s="7"/>
      <c r="L335" s="7"/>
      <c r="M335" s="7"/>
      <c r="N335" s="7"/>
      <c r="O335" s="5"/>
      <c r="P335" s="749"/>
      <c r="Q335" s="750"/>
      <c r="R335" s="749"/>
      <c r="S335" s="751"/>
      <c r="T335" s="751"/>
      <c r="U335" s="754"/>
      <c r="V335" s="749"/>
      <c r="W335" s="749"/>
      <c r="X335" s="749"/>
      <c r="Y335" s="754"/>
      <c r="Z335" s="749"/>
      <c r="AA335" s="751"/>
      <c r="AB335" s="751"/>
      <c r="AC335" s="752"/>
      <c r="AD335" s="749"/>
      <c r="AE335" s="749"/>
      <c r="AF335" s="749"/>
      <c r="AG335" s="751"/>
      <c r="AH335" s="751"/>
      <c r="AI335" s="751"/>
      <c r="AJ335" s="734"/>
      <c r="AK335" s="7"/>
      <c r="AL335" s="7"/>
      <c r="AM335" s="7"/>
      <c r="AN335" s="7"/>
      <c r="AO335" s="5"/>
      <c r="AP335" s="350"/>
      <c r="AQ335" s="350"/>
      <c r="AR335" s="350"/>
      <c r="AS335" s="350"/>
      <c r="AT335" s="350"/>
      <c r="AU335" s="350"/>
      <c r="AV335" s="350"/>
      <c r="AW335" s="350"/>
      <c r="AX335" s="350"/>
      <c r="AY335" s="350"/>
      <c r="AZ335" s="350"/>
      <c r="BA335" s="350"/>
      <c r="BB335" s="350"/>
      <c r="BC335" s="350"/>
      <c r="BD335" s="350"/>
      <c r="BE335" s="350"/>
      <c r="BF335" s="350"/>
      <c r="BG335" s="350"/>
      <c r="BH335" s="350"/>
      <c r="BI335" s="350"/>
      <c r="BJ335" s="350"/>
      <c r="BK335" s="350"/>
      <c r="BL335" s="646"/>
      <c r="BM335" s="646"/>
      <c r="BN335" s="646"/>
      <c r="BO335" s="646"/>
      <c r="BP335" s="646"/>
      <c r="BQ335" s="646"/>
      <c r="BR335" s="646"/>
      <c r="BS335" s="646"/>
      <c r="BT335" s="646"/>
      <c r="BU335" s="646"/>
      <c r="BV335" s="646"/>
      <c r="BW335" s="646"/>
      <c r="BX335" s="646"/>
      <c r="BY335" s="646"/>
    </row>
    <row r="336">
      <c r="A336" s="716" t="s">
        <v>967</v>
      </c>
      <c r="B336" s="7"/>
      <c r="C336" s="7"/>
      <c r="D336" s="7"/>
      <c r="E336" s="7"/>
      <c r="F336" s="5"/>
      <c r="G336" s="748" t="s">
        <v>1065</v>
      </c>
      <c r="H336" s="7"/>
      <c r="I336" s="7"/>
      <c r="J336" s="7"/>
      <c r="K336" s="7"/>
      <c r="L336" s="7"/>
      <c r="M336" s="7"/>
      <c r="N336" s="7"/>
      <c r="O336" s="5"/>
      <c r="P336" s="749"/>
      <c r="Q336" s="749"/>
      <c r="R336" s="750"/>
      <c r="S336" s="751"/>
      <c r="T336" s="751"/>
      <c r="U336" s="751"/>
      <c r="V336" s="750"/>
      <c r="W336" s="749"/>
      <c r="X336" s="749"/>
      <c r="Y336" s="750"/>
      <c r="Z336" s="749"/>
      <c r="AA336" s="751"/>
      <c r="AB336" s="751"/>
      <c r="AC336" s="752"/>
      <c r="AD336" s="749"/>
      <c r="AE336" s="749"/>
      <c r="AF336" s="750"/>
      <c r="AG336" s="751"/>
      <c r="AH336" s="751"/>
      <c r="AI336" s="751"/>
      <c r="AJ336" s="734"/>
      <c r="AK336" s="7"/>
      <c r="AL336" s="7"/>
      <c r="AM336" s="7"/>
      <c r="AN336" s="7"/>
      <c r="AO336" s="5"/>
      <c r="AP336" s="350"/>
      <c r="AQ336" s="350"/>
      <c r="AR336" s="350"/>
      <c r="AS336" s="350"/>
      <c r="AT336" s="350"/>
      <c r="AU336" s="350"/>
      <c r="AV336" s="350"/>
      <c r="AW336" s="350"/>
      <c r="AX336" s="350"/>
      <c r="AY336" s="350"/>
      <c r="AZ336" s="350"/>
      <c r="BA336" s="350"/>
      <c r="BB336" s="350"/>
      <c r="BC336" s="350"/>
      <c r="BD336" s="350"/>
      <c r="BE336" s="350"/>
      <c r="BF336" s="350"/>
      <c r="BG336" s="350"/>
      <c r="BH336" s="350"/>
      <c r="BI336" s="350"/>
      <c r="BJ336" s="350"/>
      <c r="BK336" s="350"/>
      <c r="BL336" s="646"/>
      <c r="BM336" s="646"/>
      <c r="BN336" s="646"/>
      <c r="BO336" s="646"/>
      <c r="BP336" s="646"/>
      <c r="BQ336" s="646"/>
      <c r="BR336" s="646"/>
      <c r="BS336" s="646"/>
      <c r="BT336" s="646"/>
      <c r="BU336" s="646"/>
      <c r="BV336" s="646"/>
      <c r="BW336" s="646"/>
      <c r="BX336" s="646"/>
      <c r="BY336" s="646"/>
    </row>
    <row r="337">
      <c r="A337" s="716" t="s">
        <v>967</v>
      </c>
      <c r="B337" s="7"/>
      <c r="C337" s="7"/>
      <c r="D337" s="7"/>
      <c r="E337" s="7"/>
      <c r="F337" s="5"/>
      <c r="G337" s="748" t="s">
        <v>1066</v>
      </c>
      <c r="H337" s="7"/>
      <c r="I337" s="7"/>
      <c r="J337" s="7"/>
      <c r="K337" s="7"/>
      <c r="L337" s="7"/>
      <c r="M337" s="7"/>
      <c r="N337" s="7"/>
      <c r="O337" s="5"/>
      <c r="P337" s="749"/>
      <c r="Q337" s="749"/>
      <c r="R337" s="750"/>
      <c r="S337" s="751"/>
      <c r="T337" s="751"/>
      <c r="U337" s="751"/>
      <c r="V337" s="750"/>
      <c r="W337" s="749"/>
      <c r="X337" s="749"/>
      <c r="Y337" s="750"/>
      <c r="Z337" s="749"/>
      <c r="AA337" s="751"/>
      <c r="AB337" s="751"/>
      <c r="AC337" s="752"/>
      <c r="AD337" s="749"/>
      <c r="AE337" s="749"/>
      <c r="AF337" s="750"/>
      <c r="AG337" s="751"/>
      <c r="AH337" s="751"/>
      <c r="AI337" s="751"/>
      <c r="AJ337" s="734"/>
      <c r="AK337" s="7"/>
      <c r="AL337" s="7"/>
      <c r="AM337" s="7"/>
      <c r="AN337" s="7"/>
      <c r="AO337" s="5"/>
      <c r="AP337" s="350"/>
      <c r="AQ337" s="350"/>
      <c r="AR337" s="350"/>
      <c r="AS337" s="350"/>
      <c r="AT337" s="350"/>
      <c r="AU337" s="350"/>
      <c r="AV337" s="350"/>
      <c r="AW337" s="350"/>
      <c r="AX337" s="350"/>
      <c r="AY337" s="350"/>
      <c r="AZ337" s="350"/>
      <c r="BA337" s="350"/>
      <c r="BB337" s="350"/>
      <c r="BC337" s="350"/>
      <c r="BD337" s="350"/>
      <c r="BE337" s="350"/>
      <c r="BF337" s="350"/>
      <c r="BG337" s="350"/>
      <c r="BH337" s="350"/>
      <c r="BI337" s="350"/>
      <c r="BJ337" s="350"/>
      <c r="BK337" s="350"/>
      <c r="BL337" s="646"/>
      <c r="BM337" s="646"/>
      <c r="BN337" s="646"/>
      <c r="BO337" s="646"/>
      <c r="BP337" s="646"/>
      <c r="BQ337" s="646"/>
      <c r="BR337" s="646"/>
      <c r="BS337" s="646"/>
      <c r="BT337" s="646"/>
      <c r="BU337" s="646"/>
      <c r="BV337" s="646"/>
      <c r="BW337" s="646"/>
      <c r="BX337" s="646"/>
      <c r="BY337" s="646"/>
    </row>
    <row r="338">
      <c r="A338" s="716" t="s">
        <v>967</v>
      </c>
      <c r="B338" s="7"/>
      <c r="C338" s="7"/>
      <c r="D338" s="7"/>
      <c r="E338" s="7"/>
      <c r="F338" s="5"/>
      <c r="G338" s="748" t="s">
        <v>1067</v>
      </c>
      <c r="H338" s="7"/>
      <c r="I338" s="7"/>
      <c r="J338" s="7"/>
      <c r="K338" s="7"/>
      <c r="L338" s="7"/>
      <c r="M338" s="7"/>
      <c r="N338" s="7"/>
      <c r="O338" s="5"/>
      <c r="P338" s="749"/>
      <c r="Q338" s="749"/>
      <c r="R338" s="750"/>
      <c r="S338" s="751"/>
      <c r="T338" s="751"/>
      <c r="U338" s="751"/>
      <c r="V338" s="750"/>
      <c r="W338" s="749"/>
      <c r="X338" s="749"/>
      <c r="Y338" s="750"/>
      <c r="Z338" s="749"/>
      <c r="AA338" s="751"/>
      <c r="AB338" s="751"/>
      <c r="AC338" s="752"/>
      <c r="AD338" s="749"/>
      <c r="AE338" s="749"/>
      <c r="AF338" s="750"/>
      <c r="AG338" s="751"/>
      <c r="AH338" s="751"/>
      <c r="AI338" s="751"/>
      <c r="AJ338" s="734"/>
      <c r="AK338" s="7"/>
      <c r="AL338" s="7"/>
      <c r="AM338" s="7"/>
      <c r="AN338" s="7"/>
      <c r="AO338" s="5"/>
      <c r="AP338" s="350"/>
      <c r="AQ338" s="350"/>
      <c r="AR338" s="350"/>
      <c r="AS338" s="350"/>
      <c r="AT338" s="350"/>
      <c r="AU338" s="350"/>
      <c r="AV338" s="350"/>
      <c r="AW338" s="350"/>
      <c r="AX338" s="350"/>
      <c r="AY338" s="350"/>
      <c r="AZ338" s="350"/>
      <c r="BA338" s="350"/>
      <c r="BB338" s="350"/>
      <c r="BC338" s="350"/>
      <c r="BD338" s="350"/>
      <c r="BE338" s="350"/>
      <c r="BF338" s="350"/>
      <c r="BG338" s="350"/>
      <c r="BH338" s="350"/>
      <c r="BI338" s="350"/>
      <c r="BJ338" s="350"/>
      <c r="BK338" s="350"/>
      <c r="BL338" s="646"/>
      <c r="BM338" s="646"/>
      <c r="BN338" s="646"/>
      <c r="BO338" s="646"/>
      <c r="BP338" s="646"/>
      <c r="BQ338" s="646"/>
      <c r="BR338" s="646"/>
      <c r="BS338" s="646"/>
      <c r="BT338" s="646"/>
      <c r="BU338" s="646"/>
      <c r="BV338" s="646"/>
      <c r="BW338" s="646"/>
      <c r="BX338" s="646"/>
      <c r="BY338" s="646"/>
    </row>
    <row r="339">
      <c r="A339" s="716" t="s">
        <v>967</v>
      </c>
      <c r="B339" s="7"/>
      <c r="C339" s="7"/>
      <c r="D339" s="7"/>
      <c r="E339" s="7"/>
      <c r="F339" s="5"/>
      <c r="G339" s="748" t="s">
        <v>1068</v>
      </c>
      <c r="H339" s="7"/>
      <c r="I339" s="7"/>
      <c r="J339" s="7"/>
      <c r="K339" s="7"/>
      <c r="L339" s="7"/>
      <c r="M339" s="7"/>
      <c r="N339" s="7"/>
      <c r="O339" s="5"/>
      <c r="P339" s="749"/>
      <c r="Q339" s="749"/>
      <c r="R339" s="750"/>
      <c r="S339" s="751"/>
      <c r="T339" s="751"/>
      <c r="U339" s="751"/>
      <c r="V339" s="750"/>
      <c r="W339" s="749"/>
      <c r="X339" s="749"/>
      <c r="Y339" s="750"/>
      <c r="Z339" s="749"/>
      <c r="AA339" s="751"/>
      <c r="AB339" s="751"/>
      <c r="AC339" s="752"/>
      <c r="AD339" s="749"/>
      <c r="AE339" s="749"/>
      <c r="AF339" s="750"/>
      <c r="AG339" s="751"/>
      <c r="AH339" s="751"/>
      <c r="AI339" s="751"/>
      <c r="AJ339" s="734"/>
      <c r="AK339" s="7"/>
      <c r="AL339" s="7"/>
      <c r="AM339" s="7"/>
      <c r="AN339" s="7"/>
      <c r="AO339" s="5"/>
      <c r="AP339" s="350"/>
      <c r="AQ339" s="350"/>
      <c r="AR339" s="350"/>
      <c r="AS339" s="350"/>
      <c r="AT339" s="350"/>
      <c r="AU339" s="350"/>
      <c r="AV339" s="350"/>
      <c r="AW339" s="350"/>
      <c r="AX339" s="350"/>
      <c r="AY339" s="350"/>
      <c r="AZ339" s="350"/>
      <c r="BA339" s="350"/>
      <c r="BB339" s="350"/>
      <c r="BC339" s="350"/>
      <c r="BD339" s="350"/>
      <c r="BE339" s="350"/>
      <c r="BF339" s="350"/>
      <c r="BG339" s="350"/>
      <c r="BH339" s="350"/>
      <c r="BI339" s="350"/>
      <c r="BJ339" s="350"/>
      <c r="BK339" s="350"/>
      <c r="BL339" s="646"/>
      <c r="BM339" s="646"/>
      <c r="BN339" s="646"/>
      <c r="BO339" s="646"/>
      <c r="BP339" s="646"/>
      <c r="BQ339" s="646"/>
      <c r="BR339" s="646"/>
      <c r="BS339" s="646"/>
      <c r="BT339" s="646"/>
      <c r="BU339" s="646"/>
      <c r="BV339" s="646"/>
      <c r="BW339" s="646"/>
      <c r="BX339" s="646"/>
      <c r="BY339" s="646"/>
    </row>
    <row r="340">
      <c r="A340" s="716" t="s">
        <v>967</v>
      </c>
      <c r="B340" s="7"/>
      <c r="C340" s="7"/>
      <c r="D340" s="7"/>
      <c r="E340" s="7"/>
      <c r="F340" s="5"/>
      <c r="G340" s="748" t="s">
        <v>1069</v>
      </c>
      <c r="H340" s="7"/>
      <c r="I340" s="7"/>
      <c r="J340" s="7"/>
      <c r="K340" s="7"/>
      <c r="L340" s="7"/>
      <c r="M340" s="7"/>
      <c r="N340" s="7"/>
      <c r="O340" s="5"/>
      <c r="P340" s="749"/>
      <c r="Q340" s="749"/>
      <c r="R340" s="750"/>
      <c r="S340" s="751"/>
      <c r="T340" s="751"/>
      <c r="U340" s="751"/>
      <c r="V340" s="750"/>
      <c r="W340" s="749"/>
      <c r="X340" s="749"/>
      <c r="Y340" s="750"/>
      <c r="Z340" s="749"/>
      <c r="AA340" s="751"/>
      <c r="AB340" s="751"/>
      <c r="AC340" s="751"/>
      <c r="AD340" s="749"/>
      <c r="AE340" s="749"/>
      <c r="AF340" s="750"/>
      <c r="AG340" s="751"/>
      <c r="AH340" s="751"/>
      <c r="AI340" s="751"/>
      <c r="AJ340" s="734"/>
      <c r="AK340" s="7"/>
      <c r="AL340" s="7"/>
      <c r="AM340" s="7"/>
      <c r="AN340" s="7"/>
      <c r="AO340" s="5"/>
      <c r="AP340" s="350"/>
      <c r="AQ340" s="350"/>
      <c r="AR340" s="350"/>
      <c r="AS340" s="350"/>
      <c r="AT340" s="350"/>
      <c r="AU340" s="350"/>
      <c r="AV340" s="350"/>
      <c r="AW340" s="350"/>
      <c r="AX340" s="350"/>
      <c r="AY340" s="350"/>
      <c r="AZ340" s="350"/>
      <c r="BA340" s="350"/>
      <c r="BB340" s="350"/>
      <c r="BC340" s="350"/>
      <c r="BD340" s="350"/>
      <c r="BE340" s="350"/>
      <c r="BF340" s="350"/>
      <c r="BG340" s="350"/>
      <c r="BH340" s="350"/>
      <c r="BI340" s="350"/>
      <c r="BJ340" s="350"/>
      <c r="BK340" s="350"/>
      <c r="BL340" s="646"/>
      <c r="BM340" s="646"/>
      <c r="BN340" s="646"/>
      <c r="BO340" s="646"/>
      <c r="BP340" s="646"/>
      <c r="BQ340" s="646"/>
      <c r="BR340" s="646"/>
      <c r="BS340" s="646"/>
      <c r="BT340" s="646"/>
      <c r="BU340" s="646"/>
      <c r="BV340" s="646"/>
      <c r="BW340" s="646"/>
      <c r="BX340" s="646"/>
      <c r="BY340" s="646"/>
    </row>
    <row r="341">
      <c r="A341" s="716" t="s">
        <v>994</v>
      </c>
      <c r="B341" s="7"/>
      <c r="C341" s="7"/>
      <c r="D341" s="7"/>
      <c r="E341" s="7"/>
      <c r="F341" s="5"/>
      <c r="G341" s="748" t="s">
        <v>1070</v>
      </c>
      <c r="H341" s="7"/>
      <c r="I341" s="7"/>
      <c r="J341" s="7"/>
      <c r="K341" s="7"/>
      <c r="L341" s="7"/>
      <c r="M341" s="7"/>
      <c r="N341" s="7"/>
      <c r="O341" s="5"/>
      <c r="P341" s="749"/>
      <c r="Q341" s="749"/>
      <c r="R341" s="750"/>
      <c r="S341" s="751"/>
      <c r="T341" s="751"/>
      <c r="U341" s="752"/>
      <c r="V341" s="749"/>
      <c r="W341" s="749"/>
      <c r="X341" s="750"/>
      <c r="Y341" s="749"/>
      <c r="Z341" s="749"/>
      <c r="AA341" s="751"/>
      <c r="AB341" s="752"/>
      <c r="AC341" s="751"/>
      <c r="AD341" s="749"/>
      <c r="AE341" s="749"/>
      <c r="AF341" s="750"/>
      <c r="AG341" s="751"/>
      <c r="AH341" s="751"/>
      <c r="AI341" s="751"/>
      <c r="AJ341" s="734"/>
      <c r="AK341" s="7"/>
      <c r="AL341" s="7"/>
      <c r="AM341" s="7"/>
      <c r="AN341" s="7"/>
      <c r="AO341" s="5"/>
      <c r="AP341" s="350"/>
      <c r="AQ341" s="350"/>
      <c r="AR341" s="350"/>
      <c r="AS341" s="350"/>
      <c r="AT341" s="350"/>
      <c r="AU341" s="350"/>
      <c r="AV341" s="350"/>
      <c r="AW341" s="350"/>
      <c r="AX341" s="350"/>
      <c r="AY341" s="350"/>
      <c r="AZ341" s="350"/>
      <c r="BA341" s="350"/>
      <c r="BB341" s="350"/>
      <c r="BC341" s="350"/>
      <c r="BD341" s="350"/>
      <c r="BE341" s="350"/>
      <c r="BF341" s="350"/>
      <c r="BG341" s="350"/>
      <c r="BH341" s="350"/>
      <c r="BI341" s="350"/>
      <c r="BJ341" s="350"/>
      <c r="BK341" s="350"/>
      <c r="BL341" s="646"/>
      <c r="BM341" s="646"/>
      <c r="BN341" s="646"/>
      <c r="BO341" s="646"/>
      <c r="BP341" s="646"/>
      <c r="BQ341" s="646"/>
      <c r="BR341" s="646"/>
      <c r="BS341" s="646"/>
      <c r="BT341" s="646"/>
      <c r="BU341" s="646"/>
      <c r="BV341" s="646"/>
      <c r="BW341" s="646"/>
      <c r="BX341" s="646"/>
      <c r="BY341" s="646"/>
    </row>
    <row r="342">
      <c r="A342" s="716" t="s">
        <v>994</v>
      </c>
      <c r="B342" s="7"/>
      <c r="C342" s="7"/>
      <c r="D342" s="7"/>
      <c r="E342" s="7"/>
      <c r="F342" s="5"/>
      <c r="G342" s="748" t="s">
        <v>1071</v>
      </c>
      <c r="H342" s="7"/>
      <c r="I342" s="7"/>
      <c r="J342" s="7"/>
      <c r="K342" s="7"/>
      <c r="L342" s="7"/>
      <c r="M342" s="7"/>
      <c r="N342" s="7"/>
      <c r="O342" s="5"/>
      <c r="P342" s="749"/>
      <c r="Q342" s="749"/>
      <c r="R342" s="750"/>
      <c r="S342" s="751"/>
      <c r="T342" s="751"/>
      <c r="U342" s="752"/>
      <c r="V342" s="749"/>
      <c r="W342" s="749"/>
      <c r="X342" s="750"/>
      <c r="Y342" s="749"/>
      <c r="Z342" s="749"/>
      <c r="AA342" s="751"/>
      <c r="AB342" s="752"/>
      <c r="AC342" s="751"/>
      <c r="AD342" s="749"/>
      <c r="AE342" s="749"/>
      <c r="AF342" s="750"/>
      <c r="AG342" s="751"/>
      <c r="AH342" s="751"/>
      <c r="AI342" s="751"/>
      <c r="AJ342" s="734"/>
      <c r="AK342" s="7"/>
      <c r="AL342" s="7"/>
      <c r="AM342" s="7"/>
      <c r="AN342" s="7"/>
      <c r="AO342" s="5"/>
      <c r="AP342" s="350"/>
      <c r="AQ342" s="350"/>
      <c r="AR342" s="350"/>
      <c r="AS342" s="350"/>
      <c r="AT342" s="350"/>
      <c r="AU342" s="350"/>
      <c r="AV342" s="350"/>
      <c r="AW342" s="350"/>
      <c r="AX342" s="350"/>
      <c r="AY342" s="350"/>
      <c r="AZ342" s="350"/>
      <c r="BA342" s="350"/>
      <c r="BB342" s="350"/>
      <c r="BC342" s="350"/>
      <c r="BD342" s="350"/>
      <c r="BE342" s="350"/>
      <c r="BF342" s="350"/>
      <c r="BG342" s="350"/>
      <c r="BH342" s="350"/>
      <c r="BI342" s="350"/>
      <c r="BJ342" s="350"/>
      <c r="BK342" s="350"/>
      <c r="BL342" s="646"/>
      <c r="BM342" s="646"/>
      <c r="BN342" s="646"/>
      <c r="BO342" s="646"/>
      <c r="BP342" s="646"/>
      <c r="BQ342" s="646"/>
      <c r="BR342" s="646"/>
      <c r="BS342" s="646"/>
      <c r="BT342" s="646"/>
      <c r="BU342" s="646"/>
      <c r="BV342" s="646"/>
      <c r="BW342" s="646"/>
      <c r="BX342" s="646"/>
      <c r="BY342" s="646"/>
    </row>
    <row r="343">
      <c r="A343" s="716" t="s">
        <v>994</v>
      </c>
      <c r="B343" s="7"/>
      <c r="C343" s="7"/>
      <c r="D343" s="7"/>
      <c r="E343" s="7"/>
      <c r="F343" s="5"/>
      <c r="G343" s="748" t="s">
        <v>1072</v>
      </c>
      <c r="H343" s="7"/>
      <c r="I343" s="7"/>
      <c r="J343" s="7"/>
      <c r="K343" s="7"/>
      <c r="L343" s="7"/>
      <c r="M343" s="7"/>
      <c r="N343" s="7"/>
      <c r="O343" s="5"/>
      <c r="P343" s="749"/>
      <c r="Q343" s="749"/>
      <c r="R343" s="750"/>
      <c r="S343" s="751"/>
      <c r="T343" s="751"/>
      <c r="U343" s="752"/>
      <c r="V343" s="749"/>
      <c r="W343" s="749"/>
      <c r="X343" s="750"/>
      <c r="Y343" s="749"/>
      <c r="Z343" s="749"/>
      <c r="AA343" s="751"/>
      <c r="AB343" s="752"/>
      <c r="AC343" s="751"/>
      <c r="AD343" s="749"/>
      <c r="AE343" s="749"/>
      <c r="AF343" s="750"/>
      <c r="AG343" s="751"/>
      <c r="AH343" s="751"/>
      <c r="AI343" s="751"/>
      <c r="AJ343" s="734"/>
      <c r="AK343" s="7"/>
      <c r="AL343" s="7"/>
      <c r="AM343" s="7"/>
      <c r="AN343" s="7"/>
      <c r="AO343" s="5"/>
      <c r="AP343" s="350"/>
      <c r="AQ343" s="350"/>
      <c r="AR343" s="350"/>
      <c r="AS343" s="350"/>
      <c r="AT343" s="350"/>
      <c r="AU343" s="350"/>
      <c r="AV343" s="350"/>
      <c r="AW343" s="350"/>
      <c r="AX343" s="350"/>
      <c r="AY343" s="350"/>
      <c r="AZ343" s="350"/>
      <c r="BA343" s="350"/>
      <c r="BB343" s="350"/>
      <c r="BC343" s="350"/>
      <c r="BD343" s="350"/>
      <c r="BE343" s="350"/>
      <c r="BF343" s="350"/>
      <c r="BG343" s="350"/>
      <c r="BH343" s="350"/>
      <c r="BI343" s="350"/>
      <c r="BJ343" s="350"/>
      <c r="BK343" s="350"/>
      <c r="BL343" s="646"/>
      <c r="BM343" s="646"/>
      <c r="BN343" s="646"/>
      <c r="BO343" s="646"/>
      <c r="BP343" s="646"/>
      <c r="BQ343" s="646"/>
      <c r="BR343" s="646"/>
      <c r="BS343" s="646"/>
      <c r="BT343" s="646"/>
      <c r="BU343" s="646"/>
      <c r="BV343" s="646"/>
      <c r="BW343" s="646"/>
      <c r="BX343" s="646"/>
      <c r="BY343" s="646"/>
    </row>
    <row r="344">
      <c r="A344" s="716" t="s">
        <v>994</v>
      </c>
      <c r="B344" s="7"/>
      <c r="C344" s="7"/>
      <c r="D344" s="7"/>
      <c r="E344" s="7"/>
      <c r="F344" s="5"/>
      <c r="G344" s="748" t="s">
        <v>1073</v>
      </c>
      <c r="H344" s="7"/>
      <c r="I344" s="7"/>
      <c r="J344" s="7"/>
      <c r="K344" s="7"/>
      <c r="L344" s="7"/>
      <c r="M344" s="7"/>
      <c r="N344" s="7"/>
      <c r="O344" s="5"/>
      <c r="P344" s="749"/>
      <c r="Q344" s="749"/>
      <c r="R344" s="750"/>
      <c r="S344" s="751"/>
      <c r="T344" s="751"/>
      <c r="U344" s="752"/>
      <c r="V344" s="749"/>
      <c r="W344" s="749"/>
      <c r="X344" s="750"/>
      <c r="Y344" s="749"/>
      <c r="Z344" s="749"/>
      <c r="AA344" s="751"/>
      <c r="AB344" s="752"/>
      <c r="AC344" s="751"/>
      <c r="AD344" s="749"/>
      <c r="AE344" s="749"/>
      <c r="AF344" s="750"/>
      <c r="AG344" s="751"/>
      <c r="AH344" s="751"/>
      <c r="AI344" s="751"/>
      <c r="AJ344" s="734"/>
      <c r="AK344" s="7"/>
      <c r="AL344" s="7"/>
      <c r="AM344" s="7"/>
      <c r="AN344" s="7"/>
      <c r="AO344" s="5"/>
      <c r="AP344" s="350"/>
      <c r="AQ344" s="350"/>
      <c r="AR344" s="350"/>
      <c r="AS344" s="350"/>
      <c r="AT344" s="350"/>
      <c r="AU344" s="350"/>
      <c r="AV344" s="350"/>
      <c r="AW344" s="350"/>
      <c r="AX344" s="350"/>
      <c r="AY344" s="350"/>
      <c r="AZ344" s="350"/>
      <c r="BA344" s="350"/>
      <c r="BB344" s="350"/>
      <c r="BC344" s="350"/>
      <c r="BD344" s="350"/>
      <c r="BE344" s="350"/>
      <c r="BF344" s="350"/>
      <c r="BG344" s="350"/>
      <c r="BH344" s="350"/>
      <c r="BI344" s="350"/>
      <c r="BJ344" s="350"/>
      <c r="BK344" s="350"/>
      <c r="BL344" s="646"/>
      <c r="BM344" s="646"/>
      <c r="BN344" s="646"/>
      <c r="BO344" s="646"/>
      <c r="BP344" s="646"/>
      <c r="BQ344" s="646"/>
      <c r="BR344" s="646"/>
      <c r="BS344" s="646"/>
      <c r="BT344" s="646"/>
      <c r="BU344" s="646"/>
      <c r="BV344" s="646"/>
      <c r="BW344" s="646"/>
      <c r="BX344" s="646"/>
      <c r="BY344" s="646"/>
    </row>
    <row r="345">
      <c r="A345" s="716" t="s">
        <v>969</v>
      </c>
      <c r="B345" s="7"/>
      <c r="C345" s="7"/>
      <c r="D345" s="7"/>
      <c r="E345" s="7"/>
      <c r="F345" s="5"/>
      <c r="G345" s="748" t="s">
        <v>1074</v>
      </c>
      <c r="H345" s="7"/>
      <c r="I345" s="7"/>
      <c r="J345" s="7"/>
      <c r="K345" s="7"/>
      <c r="L345" s="7"/>
      <c r="M345" s="7"/>
      <c r="N345" s="7"/>
      <c r="O345" s="5"/>
      <c r="P345" s="749"/>
      <c r="Q345" s="750"/>
      <c r="R345" s="749"/>
      <c r="S345" s="751"/>
      <c r="T345" s="752"/>
      <c r="U345" s="752"/>
      <c r="V345" s="749"/>
      <c r="W345" s="749"/>
      <c r="X345" s="750"/>
      <c r="Y345" s="749"/>
      <c r="Z345" s="749"/>
      <c r="AA345" s="751"/>
      <c r="AB345" s="752"/>
      <c r="AC345" s="751"/>
      <c r="AD345" s="749"/>
      <c r="AE345" s="749"/>
      <c r="AF345" s="749"/>
      <c r="AG345" s="751"/>
      <c r="AH345" s="751"/>
      <c r="AI345" s="751"/>
      <c r="AJ345" s="734"/>
      <c r="AK345" s="7"/>
      <c r="AL345" s="7"/>
      <c r="AM345" s="7"/>
      <c r="AN345" s="7"/>
      <c r="AO345" s="5"/>
      <c r="AP345" s="350"/>
      <c r="AQ345" s="350"/>
      <c r="AR345" s="350"/>
      <c r="AS345" s="350"/>
      <c r="AT345" s="350"/>
      <c r="AU345" s="350"/>
      <c r="AV345" s="350"/>
      <c r="AW345" s="350"/>
      <c r="AX345" s="350"/>
      <c r="AY345" s="350"/>
      <c r="AZ345" s="350"/>
      <c r="BA345" s="350"/>
      <c r="BB345" s="350"/>
      <c r="BC345" s="350"/>
      <c r="BD345" s="350"/>
      <c r="BE345" s="350"/>
      <c r="BF345" s="350"/>
      <c r="BG345" s="350"/>
      <c r="BH345" s="350"/>
      <c r="BI345" s="350"/>
      <c r="BJ345" s="350"/>
      <c r="BK345" s="350"/>
      <c r="BL345" s="646"/>
      <c r="BM345" s="646"/>
      <c r="BN345" s="646"/>
      <c r="BO345" s="646"/>
      <c r="BP345" s="646"/>
      <c r="BQ345" s="646"/>
      <c r="BR345" s="646"/>
      <c r="BS345" s="646"/>
      <c r="BT345" s="646"/>
      <c r="BU345" s="646"/>
      <c r="BV345" s="646"/>
      <c r="BW345" s="646"/>
      <c r="BX345" s="646"/>
      <c r="BY345" s="646"/>
    </row>
    <row r="346">
      <c r="A346" s="716" t="s">
        <v>969</v>
      </c>
      <c r="B346" s="7"/>
      <c r="C346" s="7"/>
      <c r="D346" s="7"/>
      <c r="E346" s="7"/>
      <c r="F346" s="5"/>
      <c r="G346" s="748" t="s">
        <v>1075</v>
      </c>
      <c r="H346" s="7"/>
      <c r="I346" s="7"/>
      <c r="J346" s="7"/>
      <c r="K346" s="7"/>
      <c r="L346" s="7"/>
      <c r="M346" s="7"/>
      <c r="N346" s="7"/>
      <c r="O346" s="5"/>
      <c r="P346" s="749"/>
      <c r="Q346" s="750"/>
      <c r="R346" s="749"/>
      <c r="S346" s="751"/>
      <c r="T346" s="752"/>
      <c r="U346" s="752"/>
      <c r="V346" s="749"/>
      <c r="W346" s="749"/>
      <c r="X346" s="750"/>
      <c r="Y346" s="749"/>
      <c r="Z346" s="749"/>
      <c r="AA346" s="751"/>
      <c r="AB346" s="752"/>
      <c r="AC346" s="751"/>
      <c r="AD346" s="749"/>
      <c r="AE346" s="749"/>
      <c r="AF346" s="749"/>
      <c r="AG346" s="751"/>
      <c r="AH346" s="751"/>
      <c r="AI346" s="751"/>
      <c r="AJ346" s="734"/>
      <c r="AK346" s="7"/>
      <c r="AL346" s="7"/>
      <c r="AM346" s="7"/>
      <c r="AN346" s="7"/>
      <c r="AO346" s="5"/>
      <c r="AP346" s="350"/>
      <c r="AQ346" s="350"/>
      <c r="AR346" s="350"/>
      <c r="AS346" s="350"/>
      <c r="AT346" s="350"/>
      <c r="AU346" s="350"/>
      <c r="AV346" s="350"/>
      <c r="AW346" s="350"/>
      <c r="AX346" s="350"/>
      <c r="AY346" s="350"/>
      <c r="AZ346" s="350"/>
      <c r="BA346" s="350"/>
      <c r="BB346" s="350"/>
      <c r="BC346" s="350"/>
      <c r="BD346" s="350"/>
      <c r="BE346" s="350"/>
      <c r="BF346" s="350"/>
      <c r="BG346" s="350"/>
      <c r="BH346" s="350"/>
      <c r="BI346" s="350"/>
      <c r="BJ346" s="350"/>
      <c r="BK346" s="350"/>
      <c r="BL346" s="646"/>
      <c r="BM346" s="646"/>
      <c r="BN346" s="646"/>
      <c r="BO346" s="646"/>
      <c r="BP346" s="646"/>
      <c r="BQ346" s="646"/>
      <c r="BR346" s="646"/>
      <c r="BS346" s="646"/>
      <c r="BT346" s="646"/>
      <c r="BU346" s="646"/>
      <c r="BV346" s="646"/>
      <c r="BW346" s="646"/>
      <c r="BX346" s="646"/>
      <c r="BY346" s="646"/>
    </row>
    <row r="347">
      <c r="A347" s="716" t="s">
        <v>969</v>
      </c>
      <c r="B347" s="7"/>
      <c r="C347" s="7"/>
      <c r="D347" s="7"/>
      <c r="E347" s="7"/>
      <c r="F347" s="5"/>
      <c r="G347" s="748" t="s">
        <v>1076</v>
      </c>
      <c r="H347" s="7"/>
      <c r="I347" s="7"/>
      <c r="J347" s="7"/>
      <c r="K347" s="7"/>
      <c r="L347" s="7"/>
      <c r="M347" s="7"/>
      <c r="N347" s="7"/>
      <c r="O347" s="5"/>
      <c r="P347" s="749"/>
      <c r="Q347" s="750"/>
      <c r="R347" s="749"/>
      <c r="S347" s="751"/>
      <c r="T347" s="752"/>
      <c r="U347" s="752"/>
      <c r="V347" s="749"/>
      <c r="W347" s="749"/>
      <c r="X347" s="750"/>
      <c r="Y347" s="749"/>
      <c r="Z347" s="749"/>
      <c r="AA347" s="751"/>
      <c r="AB347" s="752"/>
      <c r="AC347" s="751"/>
      <c r="AD347" s="749"/>
      <c r="AE347" s="749"/>
      <c r="AF347" s="749"/>
      <c r="AG347" s="751"/>
      <c r="AH347" s="751"/>
      <c r="AI347" s="751"/>
      <c r="AJ347" s="734"/>
      <c r="AK347" s="7"/>
      <c r="AL347" s="7"/>
      <c r="AM347" s="7"/>
      <c r="AN347" s="7"/>
      <c r="AO347" s="5"/>
      <c r="AP347" s="350"/>
      <c r="AQ347" s="350"/>
      <c r="AR347" s="350"/>
      <c r="AS347" s="350"/>
      <c r="AT347" s="350"/>
      <c r="AU347" s="350"/>
      <c r="AV347" s="350"/>
      <c r="AW347" s="350"/>
      <c r="AX347" s="350"/>
      <c r="AY347" s="350"/>
      <c r="AZ347" s="350"/>
      <c r="BA347" s="350"/>
      <c r="BB347" s="350"/>
      <c r="BC347" s="350"/>
      <c r="BD347" s="350"/>
      <c r="BE347" s="350"/>
      <c r="BF347" s="350"/>
      <c r="BG347" s="350"/>
      <c r="BH347" s="350"/>
      <c r="BI347" s="350"/>
      <c r="BJ347" s="350"/>
      <c r="BK347" s="350"/>
      <c r="BL347" s="646"/>
      <c r="BM347" s="646"/>
      <c r="BN347" s="646"/>
      <c r="BO347" s="646"/>
      <c r="BP347" s="646"/>
      <c r="BQ347" s="646"/>
      <c r="BR347" s="646"/>
      <c r="BS347" s="646"/>
      <c r="BT347" s="646"/>
      <c r="BU347" s="646"/>
      <c r="BV347" s="646"/>
      <c r="BW347" s="646"/>
      <c r="BX347" s="646"/>
      <c r="BY347" s="646"/>
    </row>
    <row r="348">
      <c r="A348" s="716" t="s">
        <v>969</v>
      </c>
      <c r="B348" s="7"/>
      <c r="C348" s="7"/>
      <c r="D348" s="7"/>
      <c r="E348" s="7"/>
      <c r="F348" s="5"/>
      <c r="G348" s="748" t="s">
        <v>1077</v>
      </c>
      <c r="H348" s="7"/>
      <c r="I348" s="7"/>
      <c r="J348" s="7"/>
      <c r="K348" s="7"/>
      <c r="L348" s="7"/>
      <c r="M348" s="7"/>
      <c r="N348" s="7"/>
      <c r="O348" s="5"/>
      <c r="P348" s="749"/>
      <c r="Q348" s="750"/>
      <c r="R348" s="749"/>
      <c r="S348" s="751"/>
      <c r="T348" s="752"/>
      <c r="U348" s="752"/>
      <c r="V348" s="749"/>
      <c r="W348" s="749"/>
      <c r="X348" s="750"/>
      <c r="Y348" s="749"/>
      <c r="Z348" s="749"/>
      <c r="AA348" s="751"/>
      <c r="AB348" s="752"/>
      <c r="AC348" s="751"/>
      <c r="AD348" s="749"/>
      <c r="AE348" s="749"/>
      <c r="AF348" s="749"/>
      <c r="AG348" s="751"/>
      <c r="AH348" s="751"/>
      <c r="AI348" s="751"/>
      <c r="AJ348" s="734"/>
      <c r="AK348" s="7"/>
      <c r="AL348" s="7"/>
      <c r="AM348" s="7"/>
      <c r="AN348" s="7"/>
      <c r="AO348" s="5"/>
      <c r="AP348" s="350"/>
      <c r="AQ348" s="350"/>
      <c r="AR348" s="350"/>
      <c r="AS348" s="350"/>
      <c r="AT348" s="350"/>
      <c r="AU348" s="350"/>
      <c r="AV348" s="350"/>
      <c r="AW348" s="350"/>
      <c r="AX348" s="350"/>
      <c r="AY348" s="350"/>
      <c r="AZ348" s="350"/>
      <c r="BA348" s="350"/>
      <c r="BB348" s="350"/>
      <c r="BC348" s="350"/>
      <c r="BD348" s="350"/>
      <c r="BE348" s="350"/>
      <c r="BF348" s="350"/>
      <c r="BG348" s="350"/>
      <c r="BH348" s="350"/>
      <c r="BI348" s="350"/>
      <c r="BJ348" s="350"/>
      <c r="BK348" s="350"/>
      <c r="BL348" s="646"/>
      <c r="BM348" s="646"/>
      <c r="BN348" s="646"/>
      <c r="BO348" s="646"/>
      <c r="BP348" s="646"/>
      <c r="BQ348" s="646"/>
      <c r="BR348" s="646"/>
      <c r="BS348" s="646"/>
      <c r="BT348" s="646"/>
      <c r="BU348" s="646"/>
      <c r="BV348" s="646"/>
      <c r="BW348" s="646"/>
      <c r="BX348" s="646"/>
      <c r="BY348" s="646"/>
    </row>
    <row r="349">
      <c r="A349" s="707" t="s">
        <v>970</v>
      </c>
      <c r="B349" s="7"/>
      <c r="C349" s="7"/>
      <c r="D349" s="7"/>
      <c r="E349" s="7"/>
      <c r="F349" s="5"/>
      <c r="G349" s="748" t="s">
        <v>1078</v>
      </c>
      <c r="H349" s="7"/>
      <c r="I349" s="7"/>
      <c r="J349" s="7"/>
      <c r="K349" s="7"/>
      <c r="L349" s="7"/>
      <c r="M349" s="7"/>
      <c r="N349" s="7"/>
      <c r="O349" s="5"/>
      <c r="P349" s="749"/>
      <c r="Q349" s="750"/>
      <c r="R349" s="749"/>
      <c r="S349" s="751"/>
      <c r="T349" s="751"/>
      <c r="U349" s="752"/>
      <c r="V349" s="749"/>
      <c r="W349" s="749"/>
      <c r="X349" s="749"/>
      <c r="Y349" s="750"/>
      <c r="Z349" s="749"/>
      <c r="AA349" s="751"/>
      <c r="AB349" s="751"/>
      <c r="AC349" s="752"/>
      <c r="AD349" s="749"/>
      <c r="AE349" s="749"/>
      <c r="AF349" s="750"/>
      <c r="AG349" s="751"/>
      <c r="AH349" s="751"/>
      <c r="AI349" s="751"/>
      <c r="AJ349" s="734"/>
      <c r="AK349" s="7"/>
      <c r="AL349" s="7"/>
      <c r="AM349" s="7"/>
      <c r="AN349" s="7"/>
      <c r="AO349" s="5"/>
      <c r="AP349" s="350"/>
      <c r="AQ349" s="350"/>
      <c r="AR349" s="350"/>
      <c r="AS349" s="350"/>
      <c r="AT349" s="350"/>
      <c r="AU349" s="350"/>
      <c r="AV349" s="350"/>
      <c r="AW349" s="350"/>
      <c r="AX349" s="350"/>
      <c r="AY349" s="350"/>
      <c r="AZ349" s="350"/>
      <c r="BA349" s="350"/>
      <c r="BB349" s="350"/>
      <c r="BC349" s="350"/>
      <c r="BD349" s="350"/>
      <c r="BE349" s="350"/>
      <c r="BF349" s="350"/>
      <c r="BG349" s="350"/>
      <c r="BH349" s="350"/>
      <c r="BI349" s="350"/>
      <c r="BJ349" s="350"/>
      <c r="BK349" s="350"/>
      <c r="BL349" s="646"/>
      <c r="BM349" s="646"/>
      <c r="BN349" s="646"/>
      <c r="BO349" s="646"/>
      <c r="BP349" s="646"/>
      <c r="BQ349" s="646"/>
      <c r="BR349" s="646"/>
      <c r="BS349" s="646"/>
      <c r="BT349" s="646"/>
      <c r="BU349" s="646"/>
      <c r="BV349" s="646"/>
      <c r="BW349" s="646"/>
      <c r="BX349" s="646"/>
      <c r="BY349" s="646"/>
    </row>
    <row r="350">
      <c r="A350" s="707" t="s">
        <v>970</v>
      </c>
      <c r="B350" s="7"/>
      <c r="C350" s="7"/>
      <c r="D350" s="7"/>
      <c r="E350" s="7"/>
      <c r="F350" s="5"/>
      <c r="G350" s="748" t="s">
        <v>1079</v>
      </c>
      <c r="H350" s="7"/>
      <c r="I350" s="7"/>
      <c r="J350" s="7"/>
      <c r="K350" s="7"/>
      <c r="L350" s="7"/>
      <c r="M350" s="7"/>
      <c r="N350" s="7"/>
      <c r="O350" s="5"/>
      <c r="P350" s="749"/>
      <c r="Q350" s="750"/>
      <c r="R350" s="749"/>
      <c r="S350" s="751"/>
      <c r="T350" s="751"/>
      <c r="U350" s="752"/>
      <c r="V350" s="749"/>
      <c r="W350" s="749"/>
      <c r="X350" s="749"/>
      <c r="Y350" s="750"/>
      <c r="Z350" s="749"/>
      <c r="AA350" s="751"/>
      <c r="AB350" s="751"/>
      <c r="AC350" s="752"/>
      <c r="AD350" s="749"/>
      <c r="AE350" s="749"/>
      <c r="AF350" s="750"/>
      <c r="AG350" s="751"/>
      <c r="AH350" s="751"/>
      <c r="AI350" s="751"/>
      <c r="AJ350" s="734"/>
      <c r="AK350" s="7"/>
      <c r="AL350" s="7"/>
      <c r="AM350" s="7"/>
      <c r="AN350" s="7"/>
      <c r="AO350" s="5"/>
      <c r="AP350" s="350"/>
      <c r="AQ350" s="350"/>
      <c r="AR350" s="350"/>
      <c r="AS350" s="350"/>
      <c r="AT350" s="350"/>
      <c r="AU350" s="350"/>
      <c r="AV350" s="350"/>
      <c r="AW350" s="350"/>
      <c r="AX350" s="350"/>
      <c r="AY350" s="350"/>
      <c r="AZ350" s="350"/>
      <c r="BA350" s="350"/>
      <c r="BB350" s="350"/>
      <c r="BC350" s="350"/>
      <c r="BD350" s="350"/>
      <c r="BE350" s="350"/>
      <c r="BF350" s="350"/>
      <c r="BG350" s="350"/>
      <c r="BH350" s="350"/>
      <c r="BI350" s="350"/>
      <c r="BJ350" s="350"/>
      <c r="BK350" s="350"/>
      <c r="BL350" s="646"/>
      <c r="BM350" s="646"/>
      <c r="BN350" s="646"/>
      <c r="BO350" s="646"/>
      <c r="BP350" s="646"/>
      <c r="BQ350" s="646"/>
      <c r="BR350" s="646"/>
      <c r="BS350" s="646"/>
      <c r="BT350" s="646"/>
      <c r="BU350" s="646"/>
      <c r="BV350" s="646"/>
      <c r="BW350" s="646"/>
      <c r="BX350" s="646"/>
      <c r="BY350" s="646"/>
    </row>
    <row r="351">
      <c r="A351" s="707" t="s">
        <v>970</v>
      </c>
      <c r="B351" s="7"/>
      <c r="C351" s="7"/>
      <c r="D351" s="7"/>
      <c r="E351" s="7"/>
      <c r="F351" s="5"/>
      <c r="G351" s="748" t="s">
        <v>1080</v>
      </c>
      <c r="H351" s="7"/>
      <c r="I351" s="7"/>
      <c r="J351" s="7"/>
      <c r="K351" s="7"/>
      <c r="L351" s="7"/>
      <c r="M351" s="7"/>
      <c r="N351" s="7"/>
      <c r="O351" s="5"/>
      <c r="P351" s="749"/>
      <c r="Q351" s="750"/>
      <c r="R351" s="749"/>
      <c r="S351" s="751"/>
      <c r="T351" s="751"/>
      <c r="U351" s="752"/>
      <c r="V351" s="749"/>
      <c r="W351" s="749"/>
      <c r="X351" s="749"/>
      <c r="Y351" s="750"/>
      <c r="Z351" s="749"/>
      <c r="AA351" s="751"/>
      <c r="AB351" s="751"/>
      <c r="AC351" s="752"/>
      <c r="AD351" s="749"/>
      <c r="AE351" s="749"/>
      <c r="AF351" s="749"/>
      <c r="AG351" s="751"/>
      <c r="AH351" s="751"/>
      <c r="AI351" s="751"/>
      <c r="AJ351" s="734"/>
      <c r="AK351" s="7"/>
      <c r="AL351" s="7"/>
      <c r="AM351" s="7"/>
      <c r="AN351" s="7"/>
      <c r="AO351" s="5"/>
      <c r="AP351" s="350"/>
      <c r="AQ351" s="350"/>
      <c r="AR351" s="350"/>
      <c r="AS351" s="350"/>
      <c r="AT351" s="350"/>
      <c r="AU351" s="350"/>
      <c r="AV351" s="350"/>
      <c r="AW351" s="350"/>
      <c r="AX351" s="350"/>
      <c r="AY351" s="350"/>
      <c r="AZ351" s="350"/>
      <c r="BA351" s="350"/>
      <c r="BB351" s="350"/>
      <c r="BC351" s="350"/>
      <c r="BD351" s="350"/>
      <c r="BE351" s="350"/>
      <c r="BF351" s="350"/>
      <c r="BG351" s="350"/>
      <c r="BH351" s="350"/>
      <c r="BI351" s="350"/>
      <c r="BJ351" s="350"/>
      <c r="BK351" s="350"/>
      <c r="BL351" s="646"/>
      <c r="BM351" s="646"/>
      <c r="BN351" s="646"/>
      <c r="BO351" s="646"/>
      <c r="BP351" s="646"/>
      <c r="BQ351" s="646"/>
      <c r="BR351" s="646"/>
      <c r="BS351" s="646"/>
      <c r="BT351" s="646"/>
      <c r="BU351" s="646"/>
      <c r="BV351" s="646"/>
      <c r="BW351" s="646"/>
      <c r="BX351" s="646"/>
      <c r="BY351" s="646"/>
    </row>
    <row r="352">
      <c r="A352" s="707" t="s">
        <v>970</v>
      </c>
      <c r="B352" s="7"/>
      <c r="C352" s="7"/>
      <c r="D352" s="7"/>
      <c r="E352" s="7"/>
      <c r="F352" s="5"/>
      <c r="G352" s="748" t="s">
        <v>1081</v>
      </c>
      <c r="H352" s="7"/>
      <c r="I352" s="7"/>
      <c r="J352" s="7"/>
      <c r="K352" s="7"/>
      <c r="L352" s="7"/>
      <c r="M352" s="7"/>
      <c r="N352" s="7"/>
      <c r="O352" s="5"/>
      <c r="P352" s="749"/>
      <c r="Q352" s="750"/>
      <c r="R352" s="749"/>
      <c r="S352" s="751"/>
      <c r="T352" s="751"/>
      <c r="U352" s="752"/>
      <c r="V352" s="749"/>
      <c r="W352" s="749"/>
      <c r="X352" s="749"/>
      <c r="Y352" s="750"/>
      <c r="Z352" s="749"/>
      <c r="AA352" s="751"/>
      <c r="AB352" s="751"/>
      <c r="AC352" s="752"/>
      <c r="AD352" s="749"/>
      <c r="AE352" s="749"/>
      <c r="AF352" s="750"/>
      <c r="AG352" s="751"/>
      <c r="AH352" s="751"/>
      <c r="AI352" s="751"/>
      <c r="AJ352" s="734"/>
      <c r="AK352" s="7"/>
      <c r="AL352" s="7"/>
      <c r="AM352" s="7"/>
      <c r="AN352" s="7"/>
      <c r="AO352" s="5"/>
      <c r="AP352" s="350"/>
      <c r="AQ352" s="350"/>
      <c r="AR352" s="350"/>
      <c r="AS352" s="350"/>
      <c r="AT352" s="350"/>
      <c r="AU352" s="350"/>
      <c r="AV352" s="350"/>
      <c r="AW352" s="350"/>
      <c r="AX352" s="350"/>
      <c r="AY352" s="350"/>
      <c r="AZ352" s="350"/>
      <c r="BA352" s="350"/>
      <c r="BB352" s="350"/>
      <c r="BC352" s="350"/>
      <c r="BD352" s="350"/>
      <c r="BE352" s="350"/>
      <c r="BF352" s="350"/>
      <c r="BG352" s="350"/>
      <c r="BH352" s="350"/>
      <c r="BI352" s="350"/>
      <c r="BJ352" s="350"/>
      <c r="BK352" s="350"/>
      <c r="BL352" s="646"/>
      <c r="BM352" s="646"/>
      <c r="BN352" s="646"/>
      <c r="BO352" s="646"/>
      <c r="BP352" s="646"/>
      <c r="BQ352" s="646"/>
      <c r="BR352" s="646"/>
      <c r="BS352" s="646"/>
      <c r="BT352" s="646"/>
      <c r="BU352" s="646"/>
      <c r="BV352" s="646"/>
      <c r="BW352" s="646"/>
      <c r="BX352" s="646"/>
      <c r="BY352" s="646"/>
    </row>
    <row r="353">
      <c r="A353" s="716" t="s">
        <v>3</v>
      </c>
      <c r="B353" s="7"/>
      <c r="C353" s="7"/>
      <c r="D353" s="7"/>
      <c r="E353" s="7"/>
      <c r="F353" s="5"/>
      <c r="G353" s="748" t="s">
        <v>1082</v>
      </c>
      <c r="H353" s="7"/>
      <c r="I353" s="7"/>
      <c r="J353" s="7"/>
      <c r="K353" s="7"/>
      <c r="L353" s="7"/>
      <c r="M353" s="7"/>
      <c r="N353" s="7"/>
      <c r="O353" s="5"/>
      <c r="P353" s="749"/>
      <c r="Q353" s="749"/>
      <c r="R353" s="750"/>
      <c r="S353" s="751"/>
      <c r="T353" s="751"/>
      <c r="U353" s="752"/>
      <c r="V353" s="749"/>
      <c r="W353" s="749"/>
      <c r="X353" s="750"/>
      <c r="Y353" s="749"/>
      <c r="Z353" s="749"/>
      <c r="AA353" s="751"/>
      <c r="AB353" s="751"/>
      <c r="AC353" s="752"/>
      <c r="AD353" s="749"/>
      <c r="AE353" s="749"/>
      <c r="AF353" s="750"/>
      <c r="AG353" s="751"/>
      <c r="AH353" s="751"/>
      <c r="AI353" s="755"/>
      <c r="AJ353" s="734"/>
      <c r="AK353" s="7"/>
      <c r="AL353" s="7"/>
      <c r="AM353" s="7"/>
      <c r="AN353" s="7"/>
      <c r="AO353" s="5"/>
      <c r="AP353" s="350"/>
      <c r="AQ353" s="350"/>
      <c r="AR353" s="350"/>
      <c r="AS353" s="350"/>
      <c r="AT353" s="350"/>
      <c r="AU353" s="350"/>
      <c r="AV353" s="350"/>
      <c r="AW353" s="350"/>
      <c r="AX353" s="350"/>
      <c r="AY353" s="350"/>
      <c r="AZ353" s="350"/>
      <c r="BA353" s="350"/>
      <c r="BB353" s="350"/>
      <c r="BC353" s="350"/>
      <c r="BD353" s="350"/>
      <c r="BE353" s="350"/>
      <c r="BF353" s="350"/>
      <c r="BG353" s="350"/>
      <c r="BH353" s="350"/>
      <c r="BI353" s="350"/>
      <c r="BJ353" s="350"/>
      <c r="BK353" s="350"/>
      <c r="BL353" s="646"/>
      <c r="BM353" s="646"/>
      <c r="BN353" s="646"/>
      <c r="BO353" s="646"/>
      <c r="BP353" s="646"/>
      <c r="BQ353" s="646"/>
      <c r="BR353" s="646"/>
      <c r="BS353" s="646"/>
      <c r="BT353" s="646"/>
      <c r="BU353" s="646"/>
      <c r="BV353" s="646"/>
      <c r="BW353" s="646"/>
      <c r="BX353" s="646"/>
      <c r="BY353" s="646"/>
    </row>
    <row r="354">
      <c r="A354" s="716" t="s">
        <v>3</v>
      </c>
      <c r="B354" s="7"/>
      <c r="C354" s="7"/>
      <c r="D354" s="7"/>
      <c r="E354" s="7"/>
      <c r="F354" s="5"/>
      <c r="G354" s="748" t="s">
        <v>1083</v>
      </c>
      <c r="H354" s="7"/>
      <c r="I354" s="7"/>
      <c r="J354" s="7"/>
      <c r="K354" s="7"/>
      <c r="L354" s="7"/>
      <c r="M354" s="7"/>
      <c r="N354" s="7"/>
      <c r="O354" s="5"/>
      <c r="P354" s="749"/>
      <c r="Q354" s="749"/>
      <c r="R354" s="750"/>
      <c r="S354" s="751"/>
      <c r="T354" s="751"/>
      <c r="U354" s="752"/>
      <c r="V354" s="749"/>
      <c r="W354" s="749"/>
      <c r="X354" s="750"/>
      <c r="Y354" s="749"/>
      <c r="Z354" s="749"/>
      <c r="AA354" s="751"/>
      <c r="AB354" s="751"/>
      <c r="AC354" s="752"/>
      <c r="AD354" s="749"/>
      <c r="AE354" s="749"/>
      <c r="AF354" s="750"/>
      <c r="AG354" s="751"/>
      <c r="AH354" s="751"/>
      <c r="AI354" s="755"/>
      <c r="AJ354" s="734"/>
      <c r="AK354" s="7"/>
      <c r="AL354" s="7"/>
      <c r="AM354" s="7"/>
      <c r="AN354" s="7"/>
      <c r="AO354" s="5"/>
      <c r="AP354" s="350"/>
      <c r="AQ354" s="350"/>
      <c r="AR354" s="350"/>
      <c r="AS354" s="350"/>
      <c r="AT354" s="350"/>
      <c r="AU354" s="350"/>
      <c r="AV354" s="350"/>
      <c r="AW354" s="350"/>
      <c r="AX354" s="350"/>
      <c r="AY354" s="350"/>
      <c r="AZ354" s="350"/>
      <c r="BA354" s="350"/>
      <c r="BB354" s="350"/>
      <c r="BC354" s="350"/>
      <c r="BD354" s="350"/>
      <c r="BE354" s="350"/>
      <c r="BF354" s="350"/>
      <c r="BG354" s="350"/>
      <c r="BH354" s="350"/>
      <c r="BI354" s="350"/>
      <c r="BJ354" s="350"/>
      <c r="BK354" s="350"/>
      <c r="BL354" s="646"/>
      <c r="BM354" s="646"/>
      <c r="BN354" s="646"/>
      <c r="BO354" s="646"/>
      <c r="BP354" s="646"/>
      <c r="BQ354" s="646"/>
      <c r="BR354" s="646"/>
      <c r="BS354" s="646"/>
      <c r="BT354" s="646"/>
      <c r="BU354" s="646"/>
      <c r="BV354" s="646"/>
      <c r="BW354" s="646"/>
      <c r="BX354" s="646"/>
      <c r="BY354" s="646"/>
    </row>
    <row r="355">
      <c r="A355" s="716" t="s">
        <v>3</v>
      </c>
      <c r="B355" s="7"/>
      <c r="C355" s="7"/>
      <c r="D355" s="7"/>
      <c r="E355" s="7"/>
      <c r="F355" s="5"/>
      <c r="G355" s="748" t="s">
        <v>1084</v>
      </c>
      <c r="H355" s="7"/>
      <c r="I355" s="7"/>
      <c r="J355" s="7"/>
      <c r="K355" s="7"/>
      <c r="L355" s="7"/>
      <c r="M355" s="7"/>
      <c r="N355" s="7"/>
      <c r="O355" s="5"/>
      <c r="P355" s="749"/>
      <c r="Q355" s="749"/>
      <c r="R355" s="750"/>
      <c r="S355" s="751"/>
      <c r="T355" s="751"/>
      <c r="U355" s="752"/>
      <c r="V355" s="749"/>
      <c r="W355" s="749"/>
      <c r="X355" s="750"/>
      <c r="Y355" s="749"/>
      <c r="Z355" s="749"/>
      <c r="AA355" s="751"/>
      <c r="AB355" s="751"/>
      <c r="AC355" s="752"/>
      <c r="AD355" s="749"/>
      <c r="AE355" s="749"/>
      <c r="AF355" s="750"/>
      <c r="AG355" s="751"/>
      <c r="AH355" s="751"/>
      <c r="AI355" s="755"/>
      <c r="AJ355" s="734"/>
      <c r="AK355" s="7"/>
      <c r="AL355" s="7"/>
      <c r="AM355" s="7"/>
      <c r="AN355" s="7"/>
      <c r="AO355" s="5"/>
      <c r="AP355" s="350"/>
      <c r="AQ355" s="350"/>
      <c r="AR355" s="350"/>
      <c r="AS355" s="350"/>
      <c r="AT355" s="350"/>
      <c r="AU355" s="350"/>
      <c r="AV355" s="350"/>
      <c r="AW355" s="350"/>
      <c r="AX355" s="350"/>
      <c r="AY355" s="350"/>
      <c r="AZ355" s="350"/>
      <c r="BA355" s="350"/>
      <c r="BB355" s="350"/>
      <c r="BC355" s="350"/>
      <c r="BD355" s="350"/>
      <c r="BE355" s="350"/>
      <c r="BF355" s="350"/>
      <c r="BG355" s="350"/>
      <c r="BH355" s="350"/>
      <c r="BI355" s="350"/>
      <c r="BJ355" s="350"/>
      <c r="BK355" s="350"/>
      <c r="BL355" s="646"/>
      <c r="BM355" s="646"/>
      <c r="BN355" s="646"/>
      <c r="BO355" s="646"/>
      <c r="BP355" s="646"/>
      <c r="BQ355" s="646"/>
      <c r="BR355" s="646"/>
      <c r="BS355" s="646"/>
      <c r="BT355" s="646"/>
      <c r="BU355" s="646"/>
      <c r="BV355" s="646"/>
      <c r="BW355" s="646"/>
      <c r="BX355" s="646"/>
      <c r="BY355" s="646"/>
    </row>
    <row r="356">
      <c r="A356" s="707" t="s">
        <v>972</v>
      </c>
      <c r="B356" s="7"/>
      <c r="C356" s="7"/>
      <c r="D356" s="7"/>
      <c r="E356" s="7"/>
      <c r="F356" s="5"/>
      <c r="G356" s="748" t="s">
        <v>1085</v>
      </c>
      <c r="H356" s="7"/>
      <c r="I356" s="7"/>
      <c r="J356" s="7"/>
      <c r="K356" s="7"/>
      <c r="L356" s="7"/>
      <c r="M356" s="7"/>
      <c r="N356" s="7"/>
      <c r="O356" s="5"/>
      <c r="P356" s="749"/>
      <c r="Q356" s="749"/>
      <c r="R356" s="750"/>
      <c r="S356" s="751"/>
      <c r="T356" s="751"/>
      <c r="U356" s="752"/>
      <c r="V356" s="749"/>
      <c r="W356" s="749"/>
      <c r="X356" s="749"/>
      <c r="Y356" s="749"/>
      <c r="Z356" s="749"/>
      <c r="AA356" s="751"/>
      <c r="AB356" s="752"/>
      <c r="AC356" s="751"/>
      <c r="AD356" s="749"/>
      <c r="AE356" s="749"/>
      <c r="AF356" s="749"/>
      <c r="AG356" s="751"/>
      <c r="AH356" s="751"/>
      <c r="AI356" s="755"/>
      <c r="AJ356" s="734"/>
      <c r="AK356" s="7"/>
      <c r="AL356" s="7"/>
      <c r="AM356" s="7"/>
      <c r="AN356" s="7"/>
      <c r="AO356" s="5"/>
      <c r="AP356" s="350"/>
      <c r="AQ356" s="350"/>
      <c r="AR356" s="350"/>
      <c r="AS356" s="350"/>
      <c r="AT356" s="350"/>
      <c r="AU356" s="350"/>
      <c r="AV356" s="350"/>
      <c r="AW356" s="350"/>
      <c r="AX356" s="350"/>
      <c r="AY356" s="350"/>
      <c r="AZ356" s="350"/>
      <c r="BA356" s="350"/>
      <c r="BB356" s="350"/>
      <c r="BC356" s="350"/>
      <c r="BD356" s="350"/>
      <c r="BE356" s="350"/>
      <c r="BF356" s="350"/>
      <c r="BG356" s="350"/>
      <c r="BH356" s="350"/>
      <c r="BI356" s="350"/>
      <c r="BJ356" s="350"/>
      <c r="BK356" s="350"/>
      <c r="BL356" s="646"/>
      <c r="BM356" s="646"/>
      <c r="BN356" s="646"/>
      <c r="BO356" s="646"/>
      <c r="BP356" s="646"/>
      <c r="BQ356" s="646"/>
      <c r="BR356" s="646"/>
      <c r="BS356" s="646"/>
      <c r="BT356" s="646"/>
      <c r="BU356" s="646"/>
      <c r="BV356" s="646"/>
      <c r="BW356" s="646"/>
      <c r="BX356" s="646"/>
      <c r="BY356" s="646"/>
    </row>
    <row r="357">
      <c r="A357" s="707" t="s">
        <v>972</v>
      </c>
      <c r="B357" s="7"/>
      <c r="C357" s="7"/>
      <c r="D357" s="7"/>
      <c r="E357" s="7"/>
      <c r="F357" s="5"/>
      <c r="G357" s="748" t="s">
        <v>1086</v>
      </c>
      <c r="H357" s="7"/>
      <c r="I357" s="7"/>
      <c r="J357" s="7"/>
      <c r="K357" s="7"/>
      <c r="L357" s="7"/>
      <c r="M357" s="7"/>
      <c r="N357" s="7"/>
      <c r="O357" s="5"/>
      <c r="P357" s="749"/>
      <c r="Q357" s="749"/>
      <c r="R357" s="750"/>
      <c r="S357" s="751"/>
      <c r="T357" s="751"/>
      <c r="U357" s="752"/>
      <c r="V357" s="749"/>
      <c r="W357" s="749"/>
      <c r="X357" s="749"/>
      <c r="Y357" s="749"/>
      <c r="Z357" s="749"/>
      <c r="AA357" s="751"/>
      <c r="AB357" s="752"/>
      <c r="AC357" s="751"/>
      <c r="AD357" s="749"/>
      <c r="AE357" s="749"/>
      <c r="AF357" s="749"/>
      <c r="AG357" s="751"/>
      <c r="AH357" s="751"/>
      <c r="AI357" s="755"/>
      <c r="AJ357" s="734"/>
      <c r="AK357" s="7"/>
      <c r="AL357" s="7"/>
      <c r="AM357" s="7"/>
      <c r="AN357" s="7"/>
      <c r="AO357" s="5"/>
      <c r="AP357" s="350"/>
      <c r="AQ357" s="350"/>
      <c r="AR357" s="350"/>
      <c r="AS357" s="350"/>
      <c r="AT357" s="350"/>
      <c r="AU357" s="350"/>
      <c r="AV357" s="350"/>
      <c r="AW357" s="350"/>
      <c r="AX357" s="350"/>
      <c r="AY357" s="350"/>
      <c r="AZ357" s="350"/>
      <c r="BA357" s="350"/>
      <c r="BB357" s="350"/>
      <c r="BC357" s="350"/>
      <c r="BD357" s="350"/>
      <c r="BE357" s="350"/>
      <c r="BF357" s="350"/>
      <c r="BG357" s="350"/>
      <c r="BH357" s="350"/>
      <c r="BI357" s="350"/>
      <c r="BJ357" s="350"/>
      <c r="BK357" s="350"/>
      <c r="BL357" s="646"/>
      <c r="BM357" s="646"/>
      <c r="BN357" s="646"/>
      <c r="BO357" s="646"/>
      <c r="BP357" s="646"/>
      <c r="BQ357" s="646"/>
      <c r="BR357" s="646"/>
      <c r="BS357" s="646"/>
      <c r="BT357" s="646"/>
      <c r="BU357" s="646"/>
      <c r="BV357" s="646"/>
      <c r="BW357" s="646"/>
      <c r="BX357" s="646"/>
      <c r="BY357" s="646"/>
    </row>
    <row r="358">
      <c r="A358" s="707" t="s">
        <v>972</v>
      </c>
      <c r="B358" s="7"/>
      <c r="C358" s="7"/>
      <c r="D358" s="7"/>
      <c r="E358" s="7"/>
      <c r="F358" s="5"/>
      <c r="G358" s="748" t="s">
        <v>1087</v>
      </c>
      <c r="H358" s="7"/>
      <c r="I358" s="7"/>
      <c r="J358" s="7"/>
      <c r="K358" s="7"/>
      <c r="L358" s="7"/>
      <c r="M358" s="7"/>
      <c r="N358" s="7"/>
      <c r="O358" s="5"/>
      <c r="P358" s="749"/>
      <c r="Q358" s="749"/>
      <c r="R358" s="756"/>
      <c r="S358" s="757"/>
      <c r="T358" s="751"/>
      <c r="U358" s="758"/>
      <c r="V358" s="749"/>
      <c r="W358" s="759"/>
      <c r="X358" s="759"/>
      <c r="Y358" s="749"/>
      <c r="Z358" s="749"/>
      <c r="AA358" s="757"/>
      <c r="AB358" s="758"/>
      <c r="AC358" s="757"/>
      <c r="AD358" s="759"/>
      <c r="AE358" s="759"/>
      <c r="AF358" s="759"/>
      <c r="AG358" s="757"/>
      <c r="AH358" s="757"/>
      <c r="AI358" s="760"/>
      <c r="AJ358" s="734"/>
      <c r="AK358" s="7"/>
      <c r="AL358" s="7"/>
      <c r="AM358" s="7"/>
      <c r="AN358" s="7"/>
      <c r="AO358" s="5"/>
      <c r="AP358" s="350"/>
      <c r="AQ358" s="350"/>
      <c r="AR358" s="350"/>
      <c r="AS358" s="350"/>
      <c r="AT358" s="350"/>
      <c r="AU358" s="350"/>
      <c r="AV358" s="350"/>
      <c r="AW358" s="350"/>
      <c r="AX358" s="350"/>
      <c r="AY358" s="350"/>
      <c r="AZ358" s="350"/>
      <c r="BA358" s="350"/>
      <c r="BB358" s="350"/>
      <c r="BC358" s="350"/>
      <c r="BD358" s="350"/>
      <c r="BE358" s="350"/>
      <c r="BF358" s="350"/>
      <c r="BG358" s="350"/>
      <c r="BH358" s="350"/>
      <c r="BI358" s="350"/>
      <c r="BJ358" s="350"/>
      <c r="BK358" s="350"/>
      <c r="BL358" s="646"/>
      <c r="BM358" s="646"/>
      <c r="BN358" s="646"/>
      <c r="BO358" s="646"/>
      <c r="BP358" s="646"/>
      <c r="BQ358" s="646"/>
      <c r="BR358" s="646"/>
      <c r="BS358" s="646"/>
      <c r="BT358" s="646"/>
      <c r="BU358" s="646"/>
      <c r="BV358" s="646"/>
      <c r="BW358" s="646"/>
      <c r="BX358" s="646"/>
      <c r="BY358" s="646"/>
    </row>
    <row r="359">
      <c r="A359" s="707" t="s">
        <v>972</v>
      </c>
      <c r="B359" s="7"/>
      <c r="C359" s="7"/>
      <c r="D359" s="7"/>
      <c r="E359" s="7"/>
      <c r="F359" s="5"/>
      <c r="G359" s="761" t="s">
        <v>1088</v>
      </c>
      <c r="H359" s="7"/>
      <c r="I359" s="7"/>
      <c r="J359" s="7"/>
      <c r="K359" s="7"/>
      <c r="L359" s="7"/>
      <c r="M359" s="7"/>
      <c r="N359" s="7"/>
      <c r="O359" s="5"/>
      <c r="P359" s="749"/>
      <c r="Q359" s="749"/>
      <c r="R359" s="756"/>
      <c r="S359" s="757"/>
      <c r="T359" s="751"/>
      <c r="U359" s="758"/>
      <c r="V359" s="749"/>
      <c r="W359" s="759"/>
      <c r="X359" s="759"/>
      <c r="Y359" s="749"/>
      <c r="Z359" s="749"/>
      <c r="AA359" s="757"/>
      <c r="AB359" s="758"/>
      <c r="AC359" s="757"/>
      <c r="AD359" s="759"/>
      <c r="AE359" s="759"/>
      <c r="AF359" s="759"/>
      <c r="AG359" s="757"/>
      <c r="AH359" s="757"/>
      <c r="AI359" s="760"/>
      <c r="AJ359" s="734"/>
      <c r="AK359" s="7"/>
      <c r="AL359" s="7"/>
      <c r="AM359" s="7"/>
      <c r="AN359" s="7"/>
      <c r="AO359" s="5"/>
      <c r="AP359" s="350"/>
      <c r="AQ359" s="350"/>
      <c r="AR359" s="350"/>
      <c r="AS359" s="350"/>
      <c r="AT359" s="350"/>
      <c r="AU359" s="350"/>
      <c r="AV359" s="350"/>
      <c r="AW359" s="350"/>
      <c r="AX359" s="350"/>
      <c r="AY359" s="350"/>
      <c r="AZ359" s="350"/>
      <c r="BA359" s="350"/>
      <c r="BB359" s="350"/>
      <c r="BC359" s="350"/>
      <c r="BD359" s="350"/>
      <c r="BE359" s="350"/>
      <c r="BF359" s="350"/>
      <c r="BG359" s="350"/>
      <c r="BH359" s="350"/>
      <c r="BI359" s="350"/>
      <c r="BJ359" s="350"/>
      <c r="BK359" s="350"/>
      <c r="BL359" s="646"/>
      <c r="BM359" s="646"/>
      <c r="BN359" s="646"/>
      <c r="BO359" s="646"/>
      <c r="BP359" s="646"/>
      <c r="BQ359" s="646"/>
      <c r="BR359" s="646"/>
      <c r="BS359" s="646"/>
      <c r="BT359" s="646"/>
      <c r="BU359" s="646"/>
      <c r="BV359" s="646"/>
      <c r="BW359" s="646"/>
      <c r="BX359" s="646"/>
      <c r="BY359" s="646"/>
    </row>
    <row r="360">
      <c r="A360" s="707" t="s">
        <v>972</v>
      </c>
      <c r="B360" s="7"/>
      <c r="C360" s="7"/>
      <c r="D360" s="7"/>
      <c r="E360" s="7"/>
      <c r="F360" s="5"/>
      <c r="G360" s="762" t="s">
        <v>1089</v>
      </c>
      <c r="H360" s="31"/>
      <c r="I360" s="31"/>
      <c r="J360" s="31"/>
      <c r="K360" s="31"/>
      <c r="L360" s="31"/>
      <c r="M360" s="31"/>
      <c r="N360" s="31"/>
      <c r="O360" s="22"/>
      <c r="P360" s="763"/>
      <c r="Q360" s="763"/>
      <c r="R360" s="764"/>
      <c r="S360" s="765"/>
      <c r="T360" s="751"/>
      <c r="U360" s="766"/>
      <c r="V360" s="749"/>
      <c r="W360" s="763"/>
      <c r="X360" s="763"/>
      <c r="Y360" s="749"/>
      <c r="Z360" s="749"/>
      <c r="AA360" s="765"/>
      <c r="AB360" s="766"/>
      <c r="AC360" s="765"/>
      <c r="AD360" s="763"/>
      <c r="AE360" s="763"/>
      <c r="AF360" s="763"/>
      <c r="AG360" s="765"/>
      <c r="AH360" s="765"/>
      <c r="AI360" s="767"/>
      <c r="AJ360" s="734"/>
      <c r="AK360" s="7"/>
      <c r="AL360" s="7"/>
      <c r="AM360" s="7"/>
      <c r="AN360" s="7"/>
      <c r="AO360" s="5"/>
      <c r="AP360" s="350"/>
      <c r="AQ360" s="350"/>
      <c r="AR360" s="350"/>
      <c r="AS360" s="350"/>
      <c r="AT360" s="350"/>
      <c r="AU360" s="350"/>
      <c r="AV360" s="350"/>
      <c r="AW360" s="350"/>
      <c r="AX360" s="350"/>
      <c r="AY360" s="350"/>
      <c r="AZ360" s="350"/>
      <c r="BA360" s="350"/>
      <c r="BB360" s="350"/>
      <c r="BC360" s="350"/>
      <c r="BD360" s="350"/>
      <c r="BE360" s="350"/>
      <c r="BF360" s="350"/>
      <c r="BG360" s="350"/>
      <c r="BH360" s="350"/>
      <c r="BI360" s="350"/>
      <c r="BJ360" s="350"/>
      <c r="BK360" s="350"/>
      <c r="BL360" s="646"/>
      <c r="BM360" s="646"/>
      <c r="BN360" s="646"/>
      <c r="BO360" s="646"/>
      <c r="BP360" s="646"/>
      <c r="BQ360" s="646"/>
      <c r="BR360" s="646"/>
      <c r="BS360" s="646"/>
      <c r="BT360" s="646"/>
      <c r="BU360" s="646"/>
      <c r="BV360" s="646"/>
      <c r="BW360" s="646"/>
      <c r="BX360" s="646"/>
      <c r="BY360" s="646"/>
    </row>
    <row r="361">
      <c r="A361" s="716" t="s">
        <v>1047</v>
      </c>
      <c r="B361" s="7"/>
      <c r="C361" s="7"/>
      <c r="D361" s="7"/>
      <c r="E361" s="7"/>
      <c r="F361" s="5"/>
      <c r="G361" s="768" t="s">
        <v>1090</v>
      </c>
      <c r="H361" s="31"/>
      <c r="I361" s="31"/>
      <c r="J361" s="31"/>
      <c r="K361" s="31"/>
      <c r="L361" s="31"/>
      <c r="M361" s="31"/>
      <c r="N361" s="31"/>
      <c r="O361" s="22"/>
      <c r="P361" s="764"/>
      <c r="Q361" s="763"/>
      <c r="R361" s="764"/>
      <c r="S361" s="765"/>
      <c r="T361" s="766"/>
      <c r="U361" s="765"/>
      <c r="V361" s="763"/>
      <c r="W361" s="763"/>
      <c r="X361" s="763"/>
      <c r="Y361" s="763"/>
      <c r="Z361" s="763"/>
      <c r="AA361" s="765"/>
      <c r="AB361" s="765"/>
      <c r="AC361" s="766"/>
      <c r="AD361" s="763"/>
      <c r="AE361" s="763"/>
      <c r="AF361" s="763"/>
      <c r="AG361" s="765"/>
      <c r="AH361" s="765"/>
      <c r="AI361" s="765"/>
      <c r="AJ361" s="734"/>
      <c r="AK361" s="7"/>
      <c r="AL361" s="7"/>
      <c r="AM361" s="7"/>
      <c r="AN361" s="7"/>
      <c r="AO361" s="5"/>
      <c r="AP361" s="350"/>
      <c r="AQ361" s="350"/>
      <c r="AR361" s="350"/>
      <c r="AS361" s="350"/>
      <c r="AT361" s="350"/>
      <c r="AU361" s="350"/>
      <c r="AV361" s="350"/>
      <c r="AW361" s="350"/>
      <c r="AX361" s="350"/>
      <c r="AY361" s="350"/>
      <c r="AZ361" s="350"/>
      <c r="BA361" s="350"/>
      <c r="BB361" s="350"/>
      <c r="BC361" s="350"/>
      <c r="BD361" s="350"/>
      <c r="BE361" s="350"/>
      <c r="BF361" s="350"/>
      <c r="BG361" s="350"/>
      <c r="BH361" s="350"/>
      <c r="BI361" s="350"/>
      <c r="BJ361" s="350"/>
      <c r="BK361" s="350"/>
      <c r="BL361" s="646"/>
      <c r="BM361" s="646"/>
      <c r="BN361" s="646"/>
      <c r="BO361" s="646"/>
      <c r="BP361" s="646"/>
      <c r="BQ361" s="646"/>
      <c r="BR361" s="646"/>
      <c r="BS361" s="646"/>
      <c r="BT361" s="646"/>
      <c r="BU361" s="646"/>
      <c r="BV361" s="646"/>
      <c r="BW361" s="646"/>
      <c r="BX361" s="646"/>
      <c r="BY361" s="646"/>
    </row>
    <row r="362">
      <c r="A362" s="716" t="s">
        <v>1047</v>
      </c>
      <c r="B362" s="7"/>
      <c r="C362" s="7"/>
      <c r="D362" s="7"/>
      <c r="E362" s="7"/>
      <c r="F362" s="5"/>
      <c r="G362" s="768" t="s">
        <v>1091</v>
      </c>
      <c r="H362" s="31"/>
      <c r="I362" s="31"/>
      <c r="J362" s="31"/>
      <c r="K362" s="31"/>
      <c r="L362" s="31"/>
      <c r="M362" s="31"/>
      <c r="N362" s="31"/>
      <c r="O362" s="22"/>
      <c r="P362" s="764"/>
      <c r="Q362" s="763"/>
      <c r="R362" s="764"/>
      <c r="S362" s="765"/>
      <c r="T362" s="766"/>
      <c r="U362" s="765"/>
      <c r="V362" s="763"/>
      <c r="W362" s="763"/>
      <c r="X362" s="763"/>
      <c r="Y362" s="763"/>
      <c r="Z362" s="763"/>
      <c r="AA362" s="765"/>
      <c r="AB362" s="765"/>
      <c r="AC362" s="766"/>
      <c r="AD362" s="763"/>
      <c r="AE362" s="763"/>
      <c r="AF362" s="763"/>
      <c r="AG362" s="765"/>
      <c r="AH362" s="765"/>
      <c r="AI362" s="765"/>
      <c r="AJ362" s="734"/>
      <c r="AK362" s="7"/>
      <c r="AL362" s="7"/>
      <c r="AM362" s="7"/>
      <c r="AN362" s="7"/>
      <c r="AO362" s="5"/>
      <c r="AP362" s="350"/>
      <c r="AQ362" s="350"/>
      <c r="AR362" s="350"/>
      <c r="AS362" s="350"/>
      <c r="AT362" s="350"/>
      <c r="AU362" s="350"/>
      <c r="AV362" s="350"/>
      <c r="AW362" s="350"/>
      <c r="AX362" s="350"/>
      <c r="AY362" s="350"/>
      <c r="AZ362" s="350"/>
      <c r="BA362" s="350"/>
      <c r="BB362" s="350"/>
      <c r="BC362" s="350"/>
      <c r="BD362" s="350"/>
      <c r="BE362" s="350"/>
      <c r="BF362" s="350"/>
      <c r="BG362" s="350"/>
      <c r="BH362" s="350"/>
      <c r="BI362" s="350"/>
      <c r="BJ362" s="350"/>
      <c r="BK362" s="350"/>
      <c r="BL362" s="646"/>
      <c r="BM362" s="646"/>
      <c r="BN362" s="646"/>
      <c r="BO362" s="646"/>
      <c r="BP362" s="646"/>
      <c r="BQ362" s="646"/>
      <c r="BR362" s="646"/>
      <c r="BS362" s="646"/>
      <c r="BT362" s="646"/>
      <c r="BU362" s="646"/>
      <c r="BV362" s="646"/>
      <c r="BW362" s="646"/>
      <c r="BX362" s="646"/>
      <c r="BY362" s="646"/>
    </row>
    <row r="363">
      <c r="A363" s="716" t="s">
        <v>974</v>
      </c>
      <c r="B363" s="7"/>
      <c r="C363" s="7"/>
      <c r="D363" s="7"/>
      <c r="E363" s="7"/>
      <c r="F363" s="5"/>
      <c r="G363" s="768" t="s">
        <v>1092</v>
      </c>
      <c r="H363" s="31"/>
      <c r="I363" s="31"/>
      <c r="J363" s="31"/>
      <c r="K363" s="31"/>
      <c r="L363" s="31"/>
      <c r="M363" s="31"/>
      <c r="N363" s="31"/>
      <c r="O363" s="22"/>
      <c r="P363" s="763"/>
      <c r="Q363" s="764"/>
      <c r="R363" s="763"/>
      <c r="S363" s="765"/>
      <c r="T363" s="766"/>
      <c r="U363" s="765"/>
      <c r="V363" s="763"/>
      <c r="W363" s="763"/>
      <c r="X363" s="764"/>
      <c r="Y363" s="763"/>
      <c r="Z363" s="763"/>
      <c r="AA363" s="765"/>
      <c r="AB363" s="766"/>
      <c r="AC363" s="765"/>
      <c r="AD363" s="763"/>
      <c r="AE363" s="763"/>
      <c r="AF363" s="764"/>
      <c r="AG363" s="765"/>
      <c r="AH363" s="765"/>
      <c r="AI363" s="765"/>
      <c r="AJ363" s="734"/>
      <c r="AK363" s="7"/>
      <c r="AL363" s="7"/>
      <c r="AM363" s="7"/>
      <c r="AN363" s="7"/>
      <c r="AO363" s="5"/>
      <c r="AP363" s="350"/>
      <c r="AQ363" s="350"/>
      <c r="AR363" s="350"/>
      <c r="AS363" s="350"/>
      <c r="AT363" s="350"/>
      <c r="AU363" s="350"/>
      <c r="AV363" s="350"/>
      <c r="AW363" s="350"/>
      <c r="AX363" s="350"/>
      <c r="AY363" s="350"/>
      <c r="AZ363" s="350"/>
      <c r="BA363" s="350"/>
      <c r="BB363" s="350"/>
      <c r="BC363" s="350"/>
      <c r="BD363" s="350"/>
      <c r="BE363" s="350"/>
      <c r="BF363" s="350"/>
      <c r="BG363" s="350"/>
      <c r="BH363" s="350"/>
      <c r="BI363" s="350"/>
      <c r="BJ363" s="350"/>
      <c r="BK363" s="350"/>
      <c r="BL363" s="646"/>
      <c r="BM363" s="646"/>
      <c r="BN363" s="646"/>
      <c r="BO363" s="646"/>
      <c r="BP363" s="646"/>
      <c r="BQ363" s="646"/>
      <c r="BR363" s="646"/>
      <c r="BS363" s="646"/>
      <c r="BT363" s="646"/>
      <c r="BU363" s="646"/>
      <c r="BV363" s="646"/>
      <c r="BW363" s="646"/>
      <c r="BX363" s="646"/>
      <c r="BY363" s="646"/>
    </row>
    <row r="364">
      <c r="A364" s="716" t="s">
        <v>974</v>
      </c>
      <c r="B364" s="7"/>
      <c r="C364" s="7"/>
      <c r="D364" s="7"/>
      <c r="E364" s="7"/>
      <c r="F364" s="5"/>
      <c r="G364" s="768" t="s">
        <v>1093</v>
      </c>
      <c r="H364" s="31"/>
      <c r="I364" s="31"/>
      <c r="J364" s="31"/>
      <c r="K364" s="31"/>
      <c r="L364" s="31"/>
      <c r="M364" s="31"/>
      <c r="N364" s="31"/>
      <c r="O364" s="22"/>
      <c r="P364" s="763"/>
      <c r="Q364" s="764"/>
      <c r="R364" s="763"/>
      <c r="S364" s="765"/>
      <c r="T364" s="766"/>
      <c r="U364" s="765"/>
      <c r="V364" s="763"/>
      <c r="W364" s="763"/>
      <c r="X364" s="764"/>
      <c r="Y364" s="763"/>
      <c r="Z364" s="763"/>
      <c r="AA364" s="765"/>
      <c r="AB364" s="766"/>
      <c r="AC364" s="765"/>
      <c r="AD364" s="763"/>
      <c r="AE364" s="763"/>
      <c r="AF364" s="764"/>
      <c r="AG364" s="765"/>
      <c r="AH364" s="765"/>
      <c r="AI364" s="765"/>
      <c r="AJ364" s="734"/>
      <c r="AK364" s="7"/>
      <c r="AL364" s="7"/>
      <c r="AM364" s="7"/>
      <c r="AN364" s="7"/>
      <c r="AO364" s="5"/>
      <c r="AP364" s="350"/>
      <c r="AQ364" s="350"/>
      <c r="AR364" s="350"/>
      <c r="AS364" s="350"/>
      <c r="AT364" s="350"/>
      <c r="AU364" s="350"/>
      <c r="AV364" s="350"/>
      <c r="AW364" s="350"/>
      <c r="AX364" s="350"/>
      <c r="AY364" s="350"/>
      <c r="AZ364" s="350"/>
      <c r="BA364" s="350"/>
      <c r="BB364" s="350"/>
      <c r="BC364" s="350"/>
      <c r="BD364" s="350"/>
      <c r="BE364" s="350"/>
      <c r="BF364" s="350"/>
      <c r="BG364" s="350"/>
      <c r="BH364" s="350"/>
      <c r="BI364" s="350"/>
      <c r="BJ364" s="350"/>
      <c r="BK364" s="350"/>
      <c r="BL364" s="646"/>
      <c r="BM364" s="646"/>
      <c r="BN364" s="646"/>
      <c r="BO364" s="646"/>
      <c r="BP364" s="646"/>
      <c r="BQ364" s="646"/>
      <c r="BR364" s="646"/>
      <c r="BS364" s="646"/>
      <c r="BT364" s="646"/>
      <c r="BU364" s="646"/>
      <c r="BV364" s="646"/>
      <c r="BW364" s="646"/>
      <c r="BX364" s="646"/>
      <c r="BY364" s="646"/>
    </row>
    <row r="365">
      <c r="A365" s="716" t="s">
        <v>1055</v>
      </c>
      <c r="B365" s="7"/>
      <c r="C365" s="7"/>
      <c r="D365" s="7"/>
      <c r="E365" s="7"/>
      <c r="F365" s="5"/>
      <c r="G365" s="768" t="s">
        <v>1094</v>
      </c>
      <c r="H365" s="31"/>
      <c r="I365" s="31"/>
      <c r="J365" s="31"/>
      <c r="K365" s="31"/>
      <c r="L365" s="31"/>
      <c r="M365" s="31"/>
      <c r="N365" s="31"/>
      <c r="O365" s="22"/>
      <c r="P365" s="763"/>
      <c r="Q365" s="763"/>
      <c r="R365" s="764"/>
      <c r="S365" s="765"/>
      <c r="T365" s="765"/>
      <c r="U365" s="766"/>
      <c r="V365" s="763"/>
      <c r="W365" s="763"/>
      <c r="X365" s="764"/>
      <c r="Y365" s="763"/>
      <c r="Z365" s="763"/>
      <c r="AA365" s="765"/>
      <c r="AB365" s="765"/>
      <c r="AC365" s="766"/>
      <c r="AD365" s="763"/>
      <c r="AE365" s="763"/>
      <c r="AF365" s="764"/>
      <c r="AG365" s="765"/>
      <c r="AH365" s="765"/>
      <c r="AI365" s="767"/>
      <c r="AJ365" s="734"/>
      <c r="AK365" s="7"/>
      <c r="AL365" s="7"/>
      <c r="AM365" s="7"/>
      <c r="AN365" s="7"/>
      <c r="AO365" s="5"/>
      <c r="AP365" s="350"/>
      <c r="AQ365" s="350"/>
      <c r="AR365" s="350"/>
      <c r="AS365" s="350"/>
      <c r="AT365" s="350"/>
      <c r="AU365" s="350"/>
      <c r="AV365" s="350"/>
      <c r="AW365" s="350"/>
      <c r="AX365" s="350"/>
      <c r="AY365" s="350"/>
      <c r="AZ365" s="350"/>
      <c r="BA365" s="350"/>
      <c r="BB365" s="350"/>
      <c r="BC365" s="350"/>
      <c r="BD365" s="350"/>
      <c r="BE365" s="350"/>
      <c r="BF365" s="350"/>
      <c r="BG365" s="350"/>
      <c r="BH365" s="350"/>
      <c r="BI365" s="350"/>
      <c r="BJ365" s="350"/>
      <c r="BK365" s="350"/>
      <c r="BL365" s="646"/>
      <c r="BM365" s="646"/>
      <c r="BN365" s="646"/>
      <c r="BO365" s="646"/>
      <c r="BP365" s="646"/>
      <c r="BQ365" s="646"/>
      <c r="BR365" s="646"/>
      <c r="BS365" s="646"/>
      <c r="BT365" s="646"/>
      <c r="BU365" s="646"/>
      <c r="BV365" s="646"/>
      <c r="BW365" s="646"/>
      <c r="BX365" s="646"/>
      <c r="BY365" s="646"/>
    </row>
    <row r="366">
      <c r="A366" s="716" t="s">
        <v>1055</v>
      </c>
      <c r="B366" s="7"/>
      <c r="C366" s="7"/>
      <c r="D366" s="7"/>
      <c r="E366" s="7"/>
      <c r="F366" s="5"/>
      <c r="G366" s="769" t="s">
        <v>1095</v>
      </c>
      <c r="H366" s="31"/>
      <c r="I366" s="31"/>
      <c r="J366" s="31"/>
      <c r="K366" s="31"/>
      <c r="L366" s="31"/>
      <c r="M366" s="31"/>
      <c r="N366" s="31"/>
      <c r="O366" s="22"/>
      <c r="P366" s="763"/>
      <c r="Q366" s="763"/>
      <c r="R366" s="764"/>
      <c r="S366" s="765"/>
      <c r="T366" s="765"/>
      <c r="U366" s="767"/>
      <c r="V366" s="763"/>
      <c r="W366" s="763"/>
      <c r="X366" s="764"/>
      <c r="Y366" s="763"/>
      <c r="Z366" s="763"/>
      <c r="AA366" s="765"/>
      <c r="AB366" s="765"/>
      <c r="AC366" s="766"/>
      <c r="AD366" s="770"/>
      <c r="AE366" s="763"/>
      <c r="AF366" s="764"/>
      <c r="AG366" s="765"/>
      <c r="AH366" s="765"/>
      <c r="AI366" s="767"/>
      <c r="AJ366" s="734"/>
      <c r="AK366" s="7"/>
      <c r="AL366" s="7"/>
      <c r="AM366" s="7"/>
      <c r="AN366" s="7"/>
      <c r="AO366" s="5"/>
      <c r="AP366" s="350"/>
      <c r="AQ366" s="350"/>
      <c r="AR366" s="350"/>
      <c r="AS366" s="350"/>
      <c r="AT366" s="350"/>
      <c r="AU366" s="350"/>
      <c r="AV366" s="350"/>
      <c r="AW366" s="350"/>
      <c r="AX366" s="350"/>
      <c r="AY366" s="350"/>
      <c r="AZ366" s="350"/>
      <c r="BA366" s="350"/>
      <c r="BB366" s="350"/>
      <c r="BC366" s="350"/>
      <c r="BD366" s="350"/>
      <c r="BE366" s="350"/>
      <c r="BF366" s="350"/>
      <c r="BG366" s="350"/>
      <c r="BH366" s="350"/>
      <c r="BI366" s="350"/>
      <c r="BJ366" s="350"/>
      <c r="BK366" s="350"/>
      <c r="BL366" s="646"/>
      <c r="BM366" s="646"/>
      <c r="BN366" s="646"/>
      <c r="BO366" s="646"/>
      <c r="BP366" s="646"/>
      <c r="BQ366" s="646"/>
      <c r="BR366" s="646"/>
      <c r="BS366" s="646"/>
      <c r="BT366" s="646"/>
      <c r="BU366" s="646"/>
      <c r="BV366" s="646"/>
      <c r="BW366" s="646"/>
      <c r="BX366" s="646"/>
      <c r="BY366" s="646"/>
    </row>
    <row r="367">
      <c r="A367" s="716" t="s">
        <v>1055</v>
      </c>
      <c r="B367" s="7"/>
      <c r="C367" s="7"/>
      <c r="D367" s="7"/>
      <c r="E367" s="7"/>
      <c r="F367" s="5"/>
      <c r="G367" s="768" t="s">
        <v>1096</v>
      </c>
      <c r="H367" s="31"/>
      <c r="I367" s="31"/>
      <c r="J367" s="31"/>
      <c r="K367" s="31"/>
      <c r="L367" s="31"/>
      <c r="M367" s="31"/>
      <c r="N367" s="31"/>
      <c r="O367" s="22"/>
      <c r="P367" s="763"/>
      <c r="Q367" s="763"/>
      <c r="R367" s="764"/>
      <c r="S367" s="765"/>
      <c r="T367" s="765"/>
      <c r="U367" s="766"/>
      <c r="V367" s="763"/>
      <c r="W367" s="763"/>
      <c r="X367" s="764"/>
      <c r="Y367" s="763"/>
      <c r="Z367" s="763"/>
      <c r="AA367" s="765"/>
      <c r="AB367" s="765"/>
      <c r="AC367" s="766"/>
      <c r="AD367" s="763"/>
      <c r="AE367" s="763"/>
      <c r="AF367" s="764"/>
      <c r="AG367" s="765"/>
      <c r="AH367" s="765"/>
      <c r="AI367" s="767"/>
      <c r="AJ367" s="734"/>
      <c r="AK367" s="7"/>
      <c r="AL367" s="7"/>
      <c r="AM367" s="7"/>
      <c r="AN367" s="7"/>
      <c r="AO367" s="5"/>
      <c r="AP367" s="350"/>
      <c r="AQ367" s="350"/>
      <c r="AR367" s="350"/>
      <c r="AS367" s="350"/>
      <c r="AT367" s="350"/>
      <c r="AU367" s="350"/>
      <c r="AV367" s="350"/>
      <c r="AW367" s="350"/>
      <c r="AX367" s="350"/>
      <c r="AY367" s="350"/>
      <c r="AZ367" s="350"/>
      <c r="BA367" s="350"/>
      <c r="BB367" s="350"/>
      <c r="BC367" s="350"/>
      <c r="BD367" s="350"/>
      <c r="BE367" s="350"/>
      <c r="BF367" s="350"/>
      <c r="BG367" s="350"/>
      <c r="BH367" s="350"/>
      <c r="BI367" s="350"/>
      <c r="BJ367" s="350"/>
      <c r="BK367" s="350"/>
      <c r="BL367" s="646"/>
      <c r="BM367" s="646"/>
      <c r="BN367" s="646"/>
      <c r="BO367" s="646"/>
      <c r="BP367" s="646"/>
      <c r="BQ367" s="646"/>
      <c r="BR367" s="646"/>
      <c r="BS367" s="646"/>
      <c r="BT367" s="646"/>
      <c r="BU367" s="646"/>
      <c r="BV367" s="646"/>
      <c r="BW367" s="646"/>
      <c r="BX367" s="646"/>
      <c r="BY367" s="646"/>
    </row>
    <row r="368">
      <c r="A368" s="748" t="s">
        <v>976</v>
      </c>
      <c r="B368" s="7"/>
      <c r="C368" s="7"/>
      <c r="D368" s="7"/>
      <c r="E368" s="7"/>
      <c r="F368" s="5"/>
      <c r="G368" s="748" t="s">
        <v>1097</v>
      </c>
      <c r="H368" s="7"/>
      <c r="I368" s="7"/>
      <c r="J368" s="7"/>
      <c r="K368" s="7"/>
      <c r="L368" s="7"/>
      <c r="M368" s="7"/>
      <c r="N368" s="7"/>
      <c r="O368" s="5"/>
      <c r="P368" s="749"/>
      <c r="Q368" s="749"/>
      <c r="R368" s="749"/>
      <c r="S368" s="751"/>
      <c r="T368" s="751"/>
      <c r="U368" s="751"/>
      <c r="V368" s="749"/>
      <c r="W368" s="749"/>
      <c r="X368" s="749"/>
      <c r="Y368" s="749"/>
      <c r="Z368" s="749"/>
      <c r="AA368" s="751"/>
      <c r="AB368" s="751"/>
      <c r="AC368" s="751"/>
      <c r="AD368" s="749"/>
      <c r="AE368" s="749"/>
      <c r="AF368" s="749"/>
      <c r="AG368" s="751"/>
      <c r="AH368" s="751"/>
      <c r="AI368" s="751"/>
      <c r="AJ368" s="734"/>
      <c r="AK368" s="7"/>
      <c r="AL368" s="7"/>
      <c r="AM368" s="7"/>
      <c r="AN368" s="7"/>
      <c r="AO368" s="5"/>
      <c r="AP368" s="350"/>
      <c r="AQ368" s="350"/>
      <c r="AR368" s="350"/>
      <c r="AS368" s="350"/>
      <c r="AT368" s="350"/>
      <c r="AU368" s="350"/>
      <c r="AV368" s="350"/>
      <c r="AW368" s="350"/>
      <c r="AX368" s="350"/>
      <c r="AY368" s="350"/>
      <c r="AZ368" s="350"/>
      <c r="BA368" s="350"/>
      <c r="BB368" s="646"/>
      <c r="BC368" s="646"/>
      <c r="BD368" s="646"/>
      <c r="BE368" s="646"/>
      <c r="BF368" s="646"/>
      <c r="BG368" s="646"/>
      <c r="BH368" s="646"/>
      <c r="BI368" s="646"/>
      <c r="BJ368" s="646"/>
      <c r="BK368" s="646"/>
      <c r="BL368" s="646"/>
      <c r="BM368" s="646"/>
      <c r="BN368" s="646"/>
      <c r="BO368" s="646"/>
      <c r="BP368" s="646"/>
      <c r="BQ368" s="646"/>
      <c r="BR368" s="646"/>
      <c r="BS368" s="646"/>
      <c r="BT368" s="646"/>
      <c r="BU368" s="646"/>
      <c r="BV368" s="646"/>
      <c r="BW368" s="646"/>
      <c r="BX368" s="646"/>
      <c r="BY368" s="646"/>
    </row>
    <row r="369">
      <c r="A369" s="677"/>
      <c r="U369" s="655"/>
      <c r="V369" s="358" t="str">
        <f>IMAGE("http://i.imgur.com/7WHiYi1.png",2)</f>
        <v>#ERROR!</v>
      </c>
      <c r="AH369" s="656"/>
      <c r="AI369" s="677"/>
      <c r="BC369" s="646"/>
      <c r="BD369" s="646"/>
      <c r="BE369" s="646"/>
      <c r="BF369" s="646"/>
      <c r="BG369" s="646"/>
      <c r="BH369" s="646"/>
      <c r="BI369" s="646"/>
      <c r="BJ369" s="646"/>
      <c r="BK369" s="646"/>
      <c r="BL369" s="646"/>
      <c r="BM369" s="646"/>
      <c r="BN369" s="646"/>
      <c r="BO369" s="646"/>
      <c r="BP369" s="646"/>
      <c r="BQ369" s="646"/>
      <c r="BR369" s="646"/>
      <c r="BS369" s="646"/>
      <c r="BT369" s="646"/>
      <c r="BU369" s="646"/>
      <c r="BV369" s="646"/>
      <c r="BW369" s="646"/>
      <c r="BX369" s="646"/>
      <c r="BY369" s="646"/>
    </row>
  </sheetData>
  <mergeCells count="2578">
    <mergeCell ref="A25:F25"/>
    <mergeCell ref="A26:F26"/>
    <mergeCell ref="G26:L26"/>
    <mergeCell ref="M26:P26"/>
    <mergeCell ref="Q26:T26"/>
    <mergeCell ref="U26:X26"/>
    <mergeCell ref="A27:F27"/>
    <mergeCell ref="G27:L27"/>
    <mergeCell ref="M27:P27"/>
    <mergeCell ref="G28:L28"/>
    <mergeCell ref="M28:P28"/>
    <mergeCell ref="Q28:T28"/>
    <mergeCell ref="U28:X28"/>
    <mergeCell ref="Y28:AB28"/>
    <mergeCell ref="Q30:T30"/>
    <mergeCell ref="U30:X30"/>
    <mergeCell ref="AC30:AF30"/>
    <mergeCell ref="A28:F28"/>
    <mergeCell ref="A29:F29"/>
    <mergeCell ref="G29:L29"/>
    <mergeCell ref="M29:P29"/>
    <mergeCell ref="Q29:T29"/>
    <mergeCell ref="U29:X29"/>
    <mergeCell ref="A30:F30"/>
    <mergeCell ref="Y31:AB31"/>
    <mergeCell ref="AC31:AF31"/>
    <mergeCell ref="G30:L30"/>
    <mergeCell ref="M30:P30"/>
    <mergeCell ref="A31:F31"/>
    <mergeCell ref="G31:L31"/>
    <mergeCell ref="M31:P31"/>
    <mergeCell ref="Q31:T31"/>
    <mergeCell ref="U31:X31"/>
    <mergeCell ref="Q35:T35"/>
    <mergeCell ref="U35:X35"/>
    <mergeCell ref="Y35:AB35"/>
    <mergeCell ref="AC35:AF35"/>
    <mergeCell ref="Q33:T33"/>
    <mergeCell ref="U33:X33"/>
    <mergeCell ref="A34:F34"/>
    <mergeCell ref="G34:L34"/>
    <mergeCell ref="M34:P34"/>
    <mergeCell ref="Q34:T34"/>
    <mergeCell ref="A35:F35"/>
    <mergeCell ref="Y36:AB36"/>
    <mergeCell ref="AC36:AF36"/>
    <mergeCell ref="G35:L35"/>
    <mergeCell ref="M35:P35"/>
    <mergeCell ref="A36:F36"/>
    <mergeCell ref="G36:L36"/>
    <mergeCell ref="M36:P36"/>
    <mergeCell ref="Q36:T36"/>
    <mergeCell ref="U36:X36"/>
    <mergeCell ref="A37:F37"/>
    <mergeCell ref="G37:L37"/>
    <mergeCell ref="M37:P37"/>
    <mergeCell ref="Q37:T37"/>
    <mergeCell ref="U37:X37"/>
    <mergeCell ref="Y37:AB37"/>
    <mergeCell ref="AC37:AF37"/>
    <mergeCell ref="A38:F38"/>
    <mergeCell ref="G38:L38"/>
    <mergeCell ref="M38:P38"/>
    <mergeCell ref="Q38:T38"/>
    <mergeCell ref="U38:X38"/>
    <mergeCell ref="Y38:AB38"/>
    <mergeCell ref="AC38:AF38"/>
    <mergeCell ref="A39:F39"/>
    <mergeCell ref="G39:L39"/>
    <mergeCell ref="M39:P39"/>
    <mergeCell ref="Q39:T39"/>
    <mergeCell ref="U39:X39"/>
    <mergeCell ref="Y39:AB39"/>
    <mergeCell ref="AC39:AF39"/>
    <mergeCell ref="A42:F42"/>
    <mergeCell ref="G42:L42"/>
    <mergeCell ref="M42:P42"/>
    <mergeCell ref="Q42:T42"/>
    <mergeCell ref="U42:X42"/>
    <mergeCell ref="Y42:AB42"/>
    <mergeCell ref="AC42:AF42"/>
    <mergeCell ref="A1:F1"/>
    <mergeCell ref="G1:L1"/>
    <mergeCell ref="M1:P1"/>
    <mergeCell ref="Q1:T1"/>
    <mergeCell ref="U1:X1"/>
    <mergeCell ref="Y1:AB1"/>
    <mergeCell ref="AC1:AF1"/>
    <mergeCell ref="Q3:T3"/>
    <mergeCell ref="U3:X3"/>
    <mergeCell ref="Q4:T4"/>
    <mergeCell ref="U4:X4"/>
    <mergeCell ref="Y4:AB4"/>
    <mergeCell ref="Q5:T5"/>
    <mergeCell ref="U5:X5"/>
    <mergeCell ref="Y5:AB5"/>
    <mergeCell ref="A2:F2"/>
    <mergeCell ref="G2:L2"/>
    <mergeCell ref="M2:P2"/>
    <mergeCell ref="Q2:T2"/>
    <mergeCell ref="U2:X2"/>
    <mergeCell ref="Y2:AB2"/>
    <mergeCell ref="A3:F3"/>
    <mergeCell ref="Y3:AB3"/>
    <mergeCell ref="G3:L3"/>
    <mergeCell ref="M3:P3"/>
    <mergeCell ref="A4:F4"/>
    <mergeCell ref="G4:L4"/>
    <mergeCell ref="M4:P4"/>
    <mergeCell ref="G5:L5"/>
    <mergeCell ref="M5:P5"/>
    <mergeCell ref="A5:F5"/>
    <mergeCell ref="A6:F6"/>
    <mergeCell ref="G6:L6"/>
    <mergeCell ref="M6:P6"/>
    <mergeCell ref="Q6:T6"/>
    <mergeCell ref="U6:X6"/>
    <mergeCell ref="Y6:AB6"/>
    <mergeCell ref="M8:P8"/>
    <mergeCell ref="Q8:T8"/>
    <mergeCell ref="G10:L10"/>
    <mergeCell ref="M10:P10"/>
    <mergeCell ref="A12:F12"/>
    <mergeCell ref="A13:F13"/>
    <mergeCell ref="G13:L13"/>
    <mergeCell ref="M13:P13"/>
    <mergeCell ref="Q13:T13"/>
    <mergeCell ref="U13:X13"/>
    <mergeCell ref="A14:F14"/>
    <mergeCell ref="G14:L14"/>
    <mergeCell ref="M14:P14"/>
    <mergeCell ref="A15:F15"/>
    <mergeCell ref="G15:L15"/>
    <mergeCell ref="M15:P15"/>
    <mergeCell ref="G16:L16"/>
    <mergeCell ref="M16:P16"/>
    <mergeCell ref="A7:F7"/>
    <mergeCell ref="G7:L7"/>
    <mergeCell ref="M7:P7"/>
    <mergeCell ref="Q7:T7"/>
    <mergeCell ref="U7:X7"/>
    <mergeCell ref="G8:L8"/>
    <mergeCell ref="U8:X8"/>
    <mergeCell ref="Q10:T10"/>
    <mergeCell ref="U10:X10"/>
    <mergeCell ref="A8:F8"/>
    <mergeCell ref="A9:F9"/>
    <mergeCell ref="G9:L9"/>
    <mergeCell ref="M9:P9"/>
    <mergeCell ref="Q9:T9"/>
    <mergeCell ref="U9:X9"/>
    <mergeCell ref="A10:F10"/>
    <mergeCell ref="M12:P12"/>
    <mergeCell ref="Q12:T12"/>
    <mergeCell ref="A11:F11"/>
    <mergeCell ref="G11:L11"/>
    <mergeCell ref="M11:P11"/>
    <mergeCell ref="Q11:T11"/>
    <mergeCell ref="U11:X11"/>
    <mergeCell ref="G12:L12"/>
    <mergeCell ref="U12:X12"/>
    <mergeCell ref="Q14:T14"/>
    <mergeCell ref="U14:X14"/>
    <mergeCell ref="Q15:T15"/>
    <mergeCell ref="U15:X15"/>
    <mergeCell ref="Q16:T16"/>
    <mergeCell ref="U16:X16"/>
    <mergeCell ref="Y16:AB16"/>
    <mergeCell ref="A16:F16"/>
    <mergeCell ref="A17:F17"/>
    <mergeCell ref="G17:L17"/>
    <mergeCell ref="M17:P17"/>
    <mergeCell ref="Q17:T17"/>
    <mergeCell ref="U17:X17"/>
    <mergeCell ref="Y17:AB17"/>
    <mergeCell ref="Q19:T19"/>
    <mergeCell ref="U19:X19"/>
    <mergeCell ref="Q20:T20"/>
    <mergeCell ref="U20:X20"/>
    <mergeCell ref="Y20:AB20"/>
    <mergeCell ref="Q21:T21"/>
    <mergeCell ref="U21:X21"/>
    <mergeCell ref="Y21:AB21"/>
    <mergeCell ref="A18:F18"/>
    <mergeCell ref="G18:L18"/>
    <mergeCell ref="M18:P18"/>
    <mergeCell ref="Q18:T18"/>
    <mergeCell ref="U18:X18"/>
    <mergeCell ref="Y18:AB18"/>
    <mergeCell ref="A19:F19"/>
    <mergeCell ref="Y19:AB19"/>
    <mergeCell ref="G19:L19"/>
    <mergeCell ref="M19:P19"/>
    <mergeCell ref="A20:F20"/>
    <mergeCell ref="G20:L20"/>
    <mergeCell ref="M20:P20"/>
    <mergeCell ref="G21:L21"/>
    <mergeCell ref="M21:P21"/>
    <mergeCell ref="Q23:T23"/>
    <mergeCell ref="U23:X23"/>
    <mergeCell ref="Q24:T24"/>
    <mergeCell ref="U24:X24"/>
    <mergeCell ref="Y24:AB24"/>
    <mergeCell ref="Q25:T25"/>
    <mergeCell ref="U25:X25"/>
    <mergeCell ref="A21:F21"/>
    <mergeCell ref="A22:F22"/>
    <mergeCell ref="G22:L22"/>
    <mergeCell ref="M22:P22"/>
    <mergeCell ref="Q22:T22"/>
    <mergeCell ref="U22:X22"/>
    <mergeCell ref="A23:F23"/>
    <mergeCell ref="G23:L23"/>
    <mergeCell ref="M23:P23"/>
    <mergeCell ref="A24:F24"/>
    <mergeCell ref="G24:L24"/>
    <mergeCell ref="M24:P24"/>
    <mergeCell ref="G25:L25"/>
    <mergeCell ref="M25:P25"/>
    <mergeCell ref="Q27:T27"/>
    <mergeCell ref="U27:X27"/>
    <mergeCell ref="Y27:AB27"/>
    <mergeCell ref="G33:L33"/>
    <mergeCell ref="M33:P33"/>
    <mergeCell ref="Y33:AB33"/>
    <mergeCell ref="AC33:AF33"/>
    <mergeCell ref="A32:F32"/>
    <mergeCell ref="G32:L32"/>
    <mergeCell ref="M32:P32"/>
    <mergeCell ref="Q32:T32"/>
    <mergeCell ref="U32:X32"/>
    <mergeCell ref="AC32:AF32"/>
    <mergeCell ref="A33:F33"/>
    <mergeCell ref="A40:F40"/>
    <mergeCell ref="G40:L40"/>
    <mergeCell ref="M40:P40"/>
    <mergeCell ref="Q40:T40"/>
    <mergeCell ref="U40:X40"/>
    <mergeCell ref="Y40:AB40"/>
    <mergeCell ref="AC40:AF40"/>
    <mergeCell ref="A41:F41"/>
    <mergeCell ref="G41:L41"/>
    <mergeCell ref="M41:P41"/>
    <mergeCell ref="Q41:T41"/>
    <mergeCell ref="U41:X41"/>
    <mergeCell ref="Y41:AB41"/>
    <mergeCell ref="AC41:AF41"/>
    <mergeCell ref="AI43:BB43"/>
    <mergeCell ref="U44:X45"/>
    <mergeCell ref="Y44:AB45"/>
    <mergeCell ref="AC44:AE45"/>
    <mergeCell ref="AF44:AH45"/>
    <mergeCell ref="AI44:AQ45"/>
    <mergeCell ref="AR44:AT45"/>
    <mergeCell ref="AU44:AX45"/>
    <mergeCell ref="AY44:BB45"/>
    <mergeCell ref="A43:T43"/>
    <mergeCell ref="V43:AG43"/>
    <mergeCell ref="A44:G45"/>
    <mergeCell ref="H44:J45"/>
    <mergeCell ref="K44:N45"/>
    <mergeCell ref="O44:P45"/>
    <mergeCell ref="Q44:T45"/>
    <mergeCell ref="AC46:AE46"/>
    <mergeCell ref="AF46:AH46"/>
    <mergeCell ref="AI46:AQ46"/>
    <mergeCell ref="AR46:AT46"/>
    <mergeCell ref="AU46:AX46"/>
    <mergeCell ref="AY46:BB46"/>
    <mergeCell ref="A46:G46"/>
    <mergeCell ref="H46:J46"/>
    <mergeCell ref="K46:N46"/>
    <mergeCell ref="O46:P46"/>
    <mergeCell ref="Q46:T46"/>
    <mergeCell ref="U46:X46"/>
    <mergeCell ref="Y46:AB46"/>
    <mergeCell ref="AC47:AE47"/>
    <mergeCell ref="AF47:AH47"/>
    <mergeCell ref="AI47:AQ47"/>
    <mergeCell ref="AR47:AT47"/>
    <mergeCell ref="AU47:AX47"/>
    <mergeCell ref="AY47:BB47"/>
    <mergeCell ref="A47:G47"/>
    <mergeCell ref="H47:J47"/>
    <mergeCell ref="K47:N47"/>
    <mergeCell ref="O47:P47"/>
    <mergeCell ref="Q47:T47"/>
    <mergeCell ref="U47:X47"/>
    <mergeCell ref="Y47:AB47"/>
    <mergeCell ref="AC51:AE51"/>
    <mergeCell ref="AF51:AH51"/>
    <mergeCell ref="AI51:AQ51"/>
    <mergeCell ref="AR51:AT51"/>
    <mergeCell ref="AU51:AX51"/>
    <mergeCell ref="AY51:BB51"/>
    <mergeCell ref="A51:G51"/>
    <mergeCell ref="H51:J51"/>
    <mergeCell ref="K51:N51"/>
    <mergeCell ref="O51:P51"/>
    <mergeCell ref="Q51:T51"/>
    <mergeCell ref="U51:X51"/>
    <mergeCell ref="Y51:AB51"/>
    <mergeCell ref="AC52:AE52"/>
    <mergeCell ref="AF52:AH52"/>
    <mergeCell ref="AI52:AQ52"/>
    <mergeCell ref="AR52:AT52"/>
    <mergeCell ref="AU52:AX52"/>
    <mergeCell ref="AY52:BB52"/>
    <mergeCell ref="A52:G52"/>
    <mergeCell ref="H52:J52"/>
    <mergeCell ref="K52:N52"/>
    <mergeCell ref="O52:P52"/>
    <mergeCell ref="Q52:T52"/>
    <mergeCell ref="U52:X52"/>
    <mergeCell ref="Y52:AB52"/>
    <mergeCell ref="AC53:AE53"/>
    <mergeCell ref="AF53:AH53"/>
    <mergeCell ref="AI53:AQ53"/>
    <mergeCell ref="AR53:AT53"/>
    <mergeCell ref="AU53:AX53"/>
    <mergeCell ref="AY53:BB53"/>
    <mergeCell ref="A53:G53"/>
    <mergeCell ref="H53:J53"/>
    <mergeCell ref="K53:N53"/>
    <mergeCell ref="O53:P53"/>
    <mergeCell ref="Q53:T53"/>
    <mergeCell ref="U53:X53"/>
    <mergeCell ref="Y53:AB53"/>
    <mergeCell ref="AC54:AE54"/>
    <mergeCell ref="AF54:AH54"/>
    <mergeCell ref="AI54:AQ54"/>
    <mergeCell ref="AR54:AT54"/>
    <mergeCell ref="AU54:AX54"/>
    <mergeCell ref="AY54:BB54"/>
    <mergeCell ref="A54:G54"/>
    <mergeCell ref="H54:J54"/>
    <mergeCell ref="K54:N54"/>
    <mergeCell ref="O54:P54"/>
    <mergeCell ref="Q54:T54"/>
    <mergeCell ref="U54:X54"/>
    <mergeCell ref="Y54:AB54"/>
    <mergeCell ref="AC55:AE55"/>
    <mergeCell ref="AF55:AH55"/>
    <mergeCell ref="AI55:AQ55"/>
    <mergeCell ref="AR55:AT55"/>
    <mergeCell ref="AU55:AX55"/>
    <mergeCell ref="AY55:BB55"/>
    <mergeCell ref="A55:G55"/>
    <mergeCell ref="H55:J55"/>
    <mergeCell ref="K55:N55"/>
    <mergeCell ref="O55:P55"/>
    <mergeCell ref="Q55:T55"/>
    <mergeCell ref="U55:X55"/>
    <mergeCell ref="Y55:AB55"/>
    <mergeCell ref="AC56:AE56"/>
    <mergeCell ref="AF56:AH56"/>
    <mergeCell ref="AI56:AQ56"/>
    <mergeCell ref="AR56:AT56"/>
    <mergeCell ref="AU56:AX56"/>
    <mergeCell ref="AY56:BB56"/>
    <mergeCell ref="A56:G56"/>
    <mergeCell ref="H56:J56"/>
    <mergeCell ref="K56:N56"/>
    <mergeCell ref="O56:P56"/>
    <mergeCell ref="Q56:T56"/>
    <mergeCell ref="U56:X56"/>
    <mergeCell ref="Y56:AB56"/>
    <mergeCell ref="AC57:AE57"/>
    <mergeCell ref="AF57:AH57"/>
    <mergeCell ref="AI57:AQ57"/>
    <mergeCell ref="AR57:AT57"/>
    <mergeCell ref="AU57:AX57"/>
    <mergeCell ref="AY57:BB57"/>
    <mergeCell ref="A57:G57"/>
    <mergeCell ref="H57:J57"/>
    <mergeCell ref="K57:N57"/>
    <mergeCell ref="O57:P57"/>
    <mergeCell ref="Q57:T57"/>
    <mergeCell ref="U57:X57"/>
    <mergeCell ref="Y57:AB57"/>
    <mergeCell ref="AC58:AE58"/>
    <mergeCell ref="AF58:AH58"/>
    <mergeCell ref="AI58:AQ58"/>
    <mergeCell ref="AR58:AT58"/>
    <mergeCell ref="AU58:AX58"/>
    <mergeCell ref="AY58:BB58"/>
    <mergeCell ref="A58:G58"/>
    <mergeCell ref="H58:J58"/>
    <mergeCell ref="K58:N58"/>
    <mergeCell ref="O58:P58"/>
    <mergeCell ref="Q58:T58"/>
    <mergeCell ref="U58:X58"/>
    <mergeCell ref="Y58:AB58"/>
    <mergeCell ref="AC59:AE59"/>
    <mergeCell ref="AF59:AH59"/>
    <mergeCell ref="AI59:AQ59"/>
    <mergeCell ref="AR59:AT59"/>
    <mergeCell ref="AU59:AX59"/>
    <mergeCell ref="AY59:BB59"/>
    <mergeCell ref="A59:G59"/>
    <mergeCell ref="H59:J59"/>
    <mergeCell ref="K59:N59"/>
    <mergeCell ref="O59:P59"/>
    <mergeCell ref="Q59:T59"/>
    <mergeCell ref="U59:X59"/>
    <mergeCell ref="Y59:AB59"/>
    <mergeCell ref="AC60:AE60"/>
    <mergeCell ref="AF60:AH60"/>
    <mergeCell ref="AI60:AQ60"/>
    <mergeCell ref="AR60:AT60"/>
    <mergeCell ref="AU60:AX60"/>
    <mergeCell ref="AY60:BB60"/>
    <mergeCell ref="A60:G60"/>
    <mergeCell ref="H60:J60"/>
    <mergeCell ref="K60:N60"/>
    <mergeCell ref="O60:P60"/>
    <mergeCell ref="Q60:T60"/>
    <mergeCell ref="U60:X60"/>
    <mergeCell ref="Y60:AB60"/>
    <mergeCell ref="AC61:AE61"/>
    <mergeCell ref="AF61:AH61"/>
    <mergeCell ref="AI61:AQ61"/>
    <mergeCell ref="AR61:AT61"/>
    <mergeCell ref="AU61:AX61"/>
    <mergeCell ref="AY61:BB61"/>
    <mergeCell ref="A61:G61"/>
    <mergeCell ref="H61:J61"/>
    <mergeCell ref="K61:N61"/>
    <mergeCell ref="O61:P61"/>
    <mergeCell ref="Q61:T61"/>
    <mergeCell ref="U61:X61"/>
    <mergeCell ref="Y61:AB61"/>
    <mergeCell ref="AC62:AE62"/>
    <mergeCell ref="AF62:AH62"/>
    <mergeCell ref="AI62:AQ62"/>
    <mergeCell ref="AR62:AT62"/>
    <mergeCell ref="AU62:AX62"/>
    <mergeCell ref="AY62:BB62"/>
    <mergeCell ref="A62:G62"/>
    <mergeCell ref="H62:J62"/>
    <mergeCell ref="K62:N62"/>
    <mergeCell ref="O62:P62"/>
    <mergeCell ref="Q62:T62"/>
    <mergeCell ref="U62:X62"/>
    <mergeCell ref="Y62:AB62"/>
    <mergeCell ref="AC63:AE63"/>
    <mergeCell ref="AF63:AH63"/>
    <mergeCell ref="AI63:AQ63"/>
    <mergeCell ref="AR63:AT63"/>
    <mergeCell ref="AU63:AX63"/>
    <mergeCell ref="AY63:BB63"/>
    <mergeCell ref="A63:G63"/>
    <mergeCell ref="H63:J63"/>
    <mergeCell ref="K63:N63"/>
    <mergeCell ref="O63:P63"/>
    <mergeCell ref="Q63:T63"/>
    <mergeCell ref="U63:X63"/>
    <mergeCell ref="Y63:AB63"/>
    <mergeCell ref="AC64:AE64"/>
    <mergeCell ref="AF64:AH64"/>
    <mergeCell ref="AI64:AQ64"/>
    <mergeCell ref="AR64:AT64"/>
    <mergeCell ref="AU64:AX64"/>
    <mergeCell ref="AY64:BB64"/>
    <mergeCell ref="A64:G64"/>
    <mergeCell ref="H64:J64"/>
    <mergeCell ref="K64:N64"/>
    <mergeCell ref="O64:P64"/>
    <mergeCell ref="Q64:T64"/>
    <mergeCell ref="U64:X64"/>
    <mergeCell ref="Y64:AB64"/>
    <mergeCell ref="AC65:AE65"/>
    <mergeCell ref="AF65:AH65"/>
    <mergeCell ref="AI65:AQ65"/>
    <mergeCell ref="AR65:AT65"/>
    <mergeCell ref="AU65:AX65"/>
    <mergeCell ref="AY65:BB65"/>
    <mergeCell ref="A65:G65"/>
    <mergeCell ref="H65:J65"/>
    <mergeCell ref="K65:N65"/>
    <mergeCell ref="O65:P65"/>
    <mergeCell ref="Q65:T65"/>
    <mergeCell ref="U65:X65"/>
    <mergeCell ref="Y65:AB65"/>
    <mergeCell ref="AC66:AE66"/>
    <mergeCell ref="AF66:AH66"/>
    <mergeCell ref="AI66:AQ66"/>
    <mergeCell ref="AR66:AT66"/>
    <mergeCell ref="AU66:AX66"/>
    <mergeCell ref="AY66:BB66"/>
    <mergeCell ref="A66:G66"/>
    <mergeCell ref="H66:J66"/>
    <mergeCell ref="K66:N66"/>
    <mergeCell ref="O66:P66"/>
    <mergeCell ref="Q66:T66"/>
    <mergeCell ref="U66:X66"/>
    <mergeCell ref="Y66:AB66"/>
    <mergeCell ref="AC67:AE67"/>
    <mergeCell ref="AF67:AH67"/>
    <mergeCell ref="AI67:AQ67"/>
    <mergeCell ref="AR67:AT67"/>
    <mergeCell ref="AU67:AX67"/>
    <mergeCell ref="AY67:BB67"/>
    <mergeCell ref="A67:G67"/>
    <mergeCell ref="H67:J67"/>
    <mergeCell ref="K67:N67"/>
    <mergeCell ref="O67:P67"/>
    <mergeCell ref="Q67:T67"/>
    <mergeCell ref="U67:X67"/>
    <mergeCell ref="Y67:AB67"/>
    <mergeCell ref="AC68:AE68"/>
    <mergeCell ref="AF68:AH68"/>
    <mergeCell ref="AI68:AQ68"/>
    <mergeCell ref="AR68:AT68"/>
    <mergeCell ref="AU68:AX68"/>
    <mergeCell ref="AY68:BB68"/>
    <mergeCell ref="A68:G68"/>
    <mergeCell ref="H68:J68"/>
    <mergeCell ref="K68:N68"/>
    <mergeCell ref="O68:P68"/>
    <mergeCell ref="Q68:T68"/>
    <mergeCell ref="U68:X68"/>
    <mergeCell ref="Y68:AB68"/>
    <mergeCell ref="AC69:AE69"/>
    <mergeCell ref="AF69:AH69"/>
    <mergeCell ref="AI69:AQ69"/>
    <mergeCell ref="AR69:AT69"/>
    <mergeCell ref="AU69:AX69"/>
    <mergeCell ref="AY69:BB69"/>
    <mergeCell ref="A69:G69"/>
    <mergeCell ref="H69:J69"/>
    <mergeCell ref="K69:N69"/>
    <mergeCell ref="O69:P69"/>
    <mergeCell ref="Q69:T69"/>
    <mergeCell ref="U69:X69"/>
    <mergeCell ref="Y69:AB69"/>
    <mergeCell ref="AC70:AE70"/>
    <mergeCell ref="AF70:AH70"/>
    <mergeCell ref="AI70:AQ70"/>
    <mergeCell ref="AR70:AT70"/>
    <mergeCell ref="AU70:AX70"/>
    <mergeCell ref="AY70:BB70"/>
    <mergeCell ref="A70:G70"/>
    <mergeCell ref="H70:J70"/>
    <mergeCell ref="K70:N70"/>
    <mergeCell ref="O70:P70"/>
    <mergeCell ref="Q70:T70"/>
    <mergeCell ref="U70:X70"/>
    <mergeCell ref="Y70:AB70"/>
    <mergeCell ref="AC71:AE71"/>
    <mergeCell ref="AF71:AH71"/>
    <mergeCell ref="AI71:AQ71"/>
    <mergeCell ref="AR71:AT71"/>
    <mergeCell ref="AU71:AX71"/>
    <mergeCell ref="AY71:BB71"/>
    <mergeCell ref="A71:G71"/>
    <mergeCell ref="H71:J71"/>
    <mergeCell ref="K71:N71"/>
    <mergeCell ref="O71:P71"/>
    <mergeCell ref="Q71:T71"/>
    <mergeCell ref="U71:X71"/>
    <mergeCell ref="Y71:AB71"/>
    <mergeCell ref="AC72:AE72"/>
    <mergeCell ref="AF72:AH72"/>
    <mergeCell ref="AI72:AQ72"/>
    <mergeCell ref="AR72:AT72"/>
    <mergeCell ref="AU72:AX72"/>
    <mergeCell ref="AY72:BB72"/>
    <mergeCell ref="A72:G72"/>
    <mergeCell ref="H72:J72"/>
    <mergeCell ref="K72:N72"/>
    <mergeCell ref="O72:P72"/>
    <mergeCell ref="Q72:T72"/>
    <mergeCell ref="U72:X72"/>
    <mergeCell ref="Y72:AB72"/>
    <mergeCell ref="AC73:AE73"/>
    <mergeCell ref="AF73:AH73"/>
    <mergeCell ref="AI73:AQ73"/>
    <mergeCell ref="AR73:AT73"/>
    <mergeCell ref="AU73:AX73"/>
    <mergeCell ref="AY73:BB73"/>
    <mergeCell ref="A73:G73"/>
    <mergeCell ref="H73:J73"/>
    <mergeCell ref="K73:N73"/>
    <mergeCell ref="O73:P73"/>
    <mergeCell ref="Q73:T73"/>
    <mergeCell ref="U73:X73"/>
    <mergeCell ref="Y73:AB73"/>
    <mergeCell ref="AC74:AE74"/>
    <mergeCell ref="AF74:AH74"/>
    <mergeCell ref="AI74:AQ74"/>
    <mergeCell ref="AR74:AT74"/>
    <mergeCell ref="AU74:AX74"/>
    <mergeCell ref="AY74:BB74"/>
    <mergeCell ref="A74:G74"/>
    <mergeCell ref="H74:J74"/>
    <mergeCell ref="K74:N74"/>
    <mergeCell ref="O74:P74"/>
    <mergeCell ref="Q74:T74"/>
    <mergeCell ref="U74:X74"/>
    <mergeCell ref="Y74:AB74"/>
    <mergeCell ref="AC75:AE75"/>
    <mergeCell ref="AF75:AH75"/>
    <mergeCell ref="AI75:AQ75"/>
    <mergeCell ref="AR75:AT75"/>
    <mergeCell ref="AU75:AX75"/>
    <mergeCell ref="AY75:BB75"/>
    <mergeCell ref="A75:G75"/>
    <mergeCell ref="H75:J75"/>
    <mergeCell ref="K75:N75"/>
    <mergeCell ref="O75:P75"/>
    <mergeCell ref="Q75:T75"/>
    <mergeCell ref="U75:X75"/>
    <mergeCell ref="Y75:AB75"/>
    <mergeCell ref="AC76:AE76"/>
    <mergeCell ref="AF76:AH76"/>
    <mergeCell ref="AI76:AQ76"/>
    <mergeCell ref="AR76:AT76"/>
    <mergeCell ref="AU76:AX76"/>
    <mergeCell ref="AY76:BB76"/>
    <mergeCell ref="A76:G76"/>
    <mergeCell ref="H76:J76"/>
    <mergeCell ref="K76:N76"/>
    <mergeCell ref="O76:P76"/>
    <mergeCell ref="Q76:T76"/>
    <mergeCell ref="U76:X76"/>
    <mergeCell ref="Y76:AB76"/>
    <mergeCell ref="AC77:AE77"/>
    <mergeCell ref="AF77:AH77"/>
    <mergeCell ref="AI77:AQ77"/>
    <mergeCell ref="AR77:AT77"/>
    <mergeCell ref="AU77:AX77"/>
    <mergeCell ref="AY77:BB77"/>
    <mergeCell ref="A77:G77"/>
    <mergeCell ref="H77:J77"/>
    <mergeCell ref="K77:N77"/>
    <mergeCell ref="O77:P77"/>
    <mergeCell ref="Q77:T77"/>
    <mergeCell ref="U77:X77"/>
    <mergeCell ref="Y77:AB77"/>
    <mergeCell ref="AC78:AE78"/>
    <mergeCell ref="AF78:AH78"/>
    <mergeCell ref="AI78:AQ78"/>
    <mergeCell ref="AR78:AT78"/>
    <mergeCell ref="AU78:AX78"/>
    <mergeCell ref="AY78:BB78"/>
    <mergeCell ref="A78:G78"/>
    <mergeCell ref="H78:J78"/>
    <mergeCell ref="K78:N78"/>
    <mergeCell ref="O78:P78"/>
    <mergeCell ref="Q78:T78"/>
    <mergeCell ref="U78:X78"/>
    <mergeCell ref="Y78:AB78"/>
    <mergeCell ref="AC79:AE79"/>
    <mergeCell ref="AF79:AH79"/>
    <mergeCell ref="AI79:AQ79"/>
    <mergeCell ref="AR79:AT79"/>
    <mergeCell ref="AU79:AX79"/>
    <mergeCell ref="AY79:BB79"/>
    <mergeCell ref="A79:G79"/>
    <mergeCell ref="H79:J79"/>
    <mergeCell ref="K79:N79"/>
    <mergeCell ref="O79:P79"/>
    <mergeCell ref="Q79:T79"/>
    <mergeCell ref="U79:X79"/>
    <mergeCell ref="Y79:AB79"/>
    <mergeCell ref="AC80:AE80"/>
    <mergeCell ref="AF80:AH80"/>
    <mergeCell ref="AI80:AQ80"/>
    <mergeCell ref="AR80:AT80"/>
    <mergeCell ref="AU80:AX80"/>
    <mergeCell ref="AY80:BB80"/>
    <mergeCell ref="A80:G80"/>
    <mergeCell ref="H80:J80"/>
    <mergeCell ref="K80:N80"/>
    <mergeCell ref="O80:P80"/>
    <mergeCell ref="Q80:T80"/>
    <mergeCell ref="U80:X80"/>
    <mergeCell ref="Y80:AB80"/>
    <mergeCell ref="AC81:AE81"/>
    <mergeCell ref="AF81:AH81"/>
    <mergeCell ref="AI81:AQ81"/>
    <mergeCell ref="AR81:AT81"/>
    <mergeCell ref="AU81:AX81"/>
    <mergeCell ref="AY81:BB81"/>
    <mergeCell ref="A81:G81"/>
    <mergeCell ref="H81:J81"/>
    <mergeCell ref="K81:N81"/>
    <mergeCell ref="O81:P81"/>
    <mergeCell ref="Q81:T81"/>
    <mergeCell ref="U81:X81"/>
    <mergeCell ref="Y81:AB81"/>
    <mergeCell ref="AC82:AE82"/>
    <mergeCell ref="AF82:AH82"/>
    <mergeCell ref="AI82:AQ82"/>
    <mergeCell ref="AR82:AT82"/>
    <mergeCell ref="AU82:AX82"/>
    <mergeCell ref="AY82:BB82"/>
    <mergeCell ref="A82:G82"/>
    <mergeCell ref="H82:J82"/>
    <mergeCell ref="K82:N82"/>
    <mergeCell ref="O82:P82"/>
    <mergeCell ref="Q82:T82"/>
    <mergeCell ref="U82:X82"/>
    <mergeCell ref="Y82:AB82"/>
    <mergeCell ref="AC83:AE83"/>
    <mergeCell ref="AF83:AH83"/>
    <mergeCell ref="AI83:AQ83"/>
    <mergeCell ref="AR83:AT83"/>
    <mergeCell ref="AU83:AX83"/>
    <mergeCell ref="AY83:BB83"/>
    <mergeCell ref="A83:G83"/>
    <mergeCell ref="H83:J83"/>
    <mergeCell ref="K83:N83"/>
    <mergeCell ref="O83:P83"/>
    <mergeCell ref="Q83:T83"/>
    <mergeCell ref="U83:X83"/>
    <mergeCell ref="Y83:AB83"/>
    <mergeCell ref="AC84:AE84"/>
    <mergeCell ref="AF84:AH84"/>
    <mergeCell ref="AI84:AQ84"/>
    <mergeCell ref="AR84:AT84"/>
    <mergeCell ref="AU84:AX84"/>
    <mergeCell ref="AY84:BB84"/>
    <mergeCell ref="A84:G84"/>
    <mergeCell ref="H84:J84"/>
    <mergeCell ref="K84:N84"/>
    <mergeCell ref="O84:P84"/>
    <mergeCell ref="Q84:T84"/>
    <mergeCell ref="U84:X84"/>
    <mergeCell ref="Y84:AB84"/>
    <mergeCell ref="AC85:AE85"/>
    <mergeCell ref="AF85:AH85"/>
    <mergeCell ref="AI85:AQ85"/>
    <mergeCell ref="AR85:AT85"/>
    <mergeCell ref="AU85:AX85"/>
    <mergeCell ref="AY85:BB85"/>
    <mergeCell ref="A85:G85"/>
    <mergeCell ref="H85:J85"/>
    <mergeCell ref="K85:N85"/>
    <mergeCell ref="O85:P85"/>
    <mergeCell ref="Q85:T85"/>
    <mergeCell ref="U85:X85"/>
    <mergeCell ref="Y85:AB85"/>
    <mergeCell ref="AB127:AF127"/>
    <mergeCell ref="AG127:AK127"/>
    <mergeCell ref="A126:T126"/>
    <mergeCell ref="V126:AG126"/>
    <mergeCell ref="AI126:BB126"/>
    <mergeCell ref="B127:F127"/>
    <mergeCell ref="G127:K127"/>
    <mergeCell ref="L127:P127"/>
    <mergeCell ref="Q127:U127"/>
    <mergeCell ref="AT127:AV127"/>
    <mergeCell ref="AW127:BA127"/>
    <mergeCell ref="BB127:BD127"/>
    <mergeCell ref="BE127:BG127"/>
    <mergeCell ref="BM127:BQ127"/>
    <mergeCell ref="BR127:BV127"/>
    <mergeCell ref="BW127:BY127"/>
    <mergeCell ref="BH129:BL129"/>
    <mergeCell ref="BM129:BN129"/>
    <mergeCell ref="BP129:BQ129"/>
    <mergeCell ref="BR129:BS129"/>
    <mergeCell ref="BU129:BV129"/>
    <mergeCell ref="BW129:BY129"/>
    <mergeCell ref="BH127:BL127"/>
    <mergeCell ref="BH128:BL128"/>
    <mergeCell ref="BM128:BN128"/>
    <mergeCell ref="BP128:BQ128"/>
    <mergeCell ref="BR128:BS128"/>
    <mergeCell ref="BU128:BV128"/>
    <mergeCell ref="BW128:BY128"/>
    <mergeCell ref="AG133:AK133"/>
    <mergeCell ref="AG134:AK134"/>
    <mergeCell ref="AG129:AK129"/>
    <mergeCell ref="AG130:AK130"/>
    <mergeCell ref="AG131:AK131"/>
    <mergeCell ref="AL131:AP131"/>
    <mergeCell ref="AG132:AK132"/>
    <mergeCell ref="AL132:AP132"/>
    <mergeCell ref="AL133:AP133"/>
    <mergeCell ref="AL134:AP134"/>
    <mergeCell ref="B129:F129"/>
    <mergeCell ref="G129:K129"/>
    <mergeCell ref="L129:P129"/>
    <mergeCell ref="AL129:AP129"/>
    <mergeCell ref="B130:F130"/>
    <mergeCell ref="G130:K130"/>
    <mergeCell ref="L130:P130"/>
    <mergeCell ref="AL130:AP130"/>
    <mergeCell ref="BH130:BL130"/>
    <mergeCell ref="BM130:BN130"/>
    <mergeCell ref="BP130:BQ130"/>
    <mergeCell ref="BR130:BS130"/>
    <mergeCell ref="BU130:BV130"/>
    <mergeCell ref="BW130:BY130"/>
    <mergeCell ref="BP131:BQ131"/>
    <mergeCell ref="BP132:BQ132"/>
    <mergeCell ref="BP133:BQ133"/>
    <mergeCell ref="BR133:BS133"/>
    <mergeCell ref="BU133:BV133"/>
    <mergeCell ref="BW133:BY133"/>
    <mergeCell ref="G133:K133"/>
    <mergeCell ref="L133:P133"/>
    <mergeCell ref="B131:F131"/>
    <mergeCell ref="G131:K131"/>
    <mergeCell ref="L131:P131"/>
    <mergeCell ref="B132:F132"/>
    <mergeCell ref="G132:K132"/>
    <mergeCell ref="L132:P132"/>
    <mergeCell ref="B133:F133"/>
    <mergeCell ref="BU134:BV134"/>
    <mergeCell ref="BW134:BY134"/>
    <mergeCell ref="BU135:BV135"/>
    <mergeCell ref="BW135:BY135"/>
    <mergeCell ref="AG136:AK136"/>
    <mergeCell ref="AL136:AP136"/>
    <mergeCell ref="BH136:BL136"/>
    <mergeCell ref="BM136:BN136"/>
    <mergeCell ref="BP136:BQ136"/>
    <mergeCell ref="BR136:BS136"/>
    <mergeCell ref="BU136:BV136"/>
    <mergeCell ref="BW136:BY136"/>
    <mergeCell ref="BH139:BL139"/>
    <mergeCell ref="BH140:BL140"/>
    <mergeCell ref="BM140:BN140"/>
    <mergeCell ref="BH141:BL141"/>
    <mergeCell ref="BM141:BN141"/>
    <mergeCell ref="BH142:BL142"/>
    <mergeCell ref="BM142:BN142"/>
    <mergeCell ref="BH144:BL144"/>
    <mergeCell ref="BM144:BN144"/>
    <mergeCell ref="BH145:BL145"/>
    <mergeCell ref="BM145:BN145"/>
    <mergeCell ref="BH146:BL146"/>
    <mergeCell ref="BM146:BN146"/>
    <mergeCell ref="BM147:BN147"/>
    <mergeCell ref="BH151:BL151"/>
    <mergeCell ref="BM151:BN151"/>
    <mergeCell ref="BH152:BL152"/>
    <mergeCell ref="BM152:BN152"/>
    <mergeCell ref="BH147:BL147"/>
    <mergeCell ref="BH148:BL148"/>
    <mergeCell ref="BM148:BN148"/>
    <mergeCell ref="BH149:BL149"/>
    <mergeCell ref="BM149:BN149"/>
    <mergeCell ref="BH150:BL150"/>
    <mergeCell ref="BM150:BN150"/>
    <mergeCell ref="BU145:BV145"/>
    <mergeCell ref="BW145:BY145"/>
    <mergeCell ref="BP142:BQ142"/>
    <mergeCell ref="BP144:BQ144"/>
    <mergeCell ref="BR144:BS144"/>
    <mergeCell ref="BU144:BV144"/>
    <mergeCell ref="BW144:BY144"/>
    <mergeCell ref="BP145:BQ145"/>
    <mergeCell ref="BR145:BS145"/>
    <mergeCell ref="BP146:BQ146"/>
    <mergeCell ref="BR146:BS146"/>
    <mergeCell ref="BU146:BV146"/>
    <mergeCell ref="BW146:BY146"/>
    <mergeCell ref="BR147:BS147"/>
    <mergeCell ref="BU147:BV147"/>
    <mergeCell ref="BW147:BY147"/>
    <mergeCell ref="BU149:BV149"/>
    <mergeCell ref="BW149:BY149"/>
    <mergeCell ref="BP147:BQ147"/>
    <mergeCell ref="BP148:BQ148"/>
    <mergeCell ref="BR148:BS148"/>
    <mergeCell ref="BU148:BV148"/>
    <mergeCell ref="BW148:BY148"/>
    <mergeCell ref="BP149:BQ149"/>
    <mergeCell ref="BR149:BS149"/>
    <mergeCell ref="BP151:BQ151"/>
    <mergeCell ref="BP152:BQ152"/>
    <mergeCell ref="BR152:BS152"/>
    <mergeCell ref="BU152:BV152"/>
    <mergeCell ref="BW152:BY152"/>
    <mergeCell ref="BP150:BQ150"/>
    <mergeCell ref="BR150:BS150"/>
    <mergeCell ref="BU150:BV150"/>
    <mergeCell ref="BW150:BY150"/>
    <mergeCell ref="BR151:BS151"/>
    <mergeCell ref="BU151:BV151"/>
    <mergeCell ref="BW151:BY151"/>
    <mergeCell ref="BH132:BL132"/>
    <mergeCell ref="BH133:BL133"/>
    <mergeCell ref="BM133:BN133"/>
    <mergeCell ref="BH134:BL134"/>
    <mergeCell ref="BM134:BN134"/>
    <mergeCell ref="BP134:BQ134"/>
    <mergeCell ref="BR134:BS134"/>
    <mergeCell ref="BR137:BS137"/>
    <mergeCell ref="BU137:BV137"/>
    <mergeCell ref="BW137:BY137"/>
    <mergeCell ref="BH135:BL135"/>
    <mergeCell ref="BM135:BN135"/>
    <mergeCell ref="BP135:BQ135"/>
    <mergeCell ref="BR135:BS135"/>
    <mergeCell ref="BH137:BL137"/>
    <mergeCell ref="BM137:BN137"/>
    <mergeCell ref="BP137:BQ137"/>
    <mergeCell ref="BU138:BV138"/>
    <mergeCell ref="BU139:BV139"/>
    <mergeCell ref="BU140:BV140"/>
    <mergeCell ref="BW140:BY140"/>
    <mergeCell ref="BU141:BV141"/>
    <mergeCell ref="BW141:BY141"/>
    <mergeCell ref="BU142:BV142"/>
    <mergeCell ref="BW142:BY142"/>
    <mergeCell ref="BH138:BL138"/>
    <mergeCell ref="BM138:BN138"/>
    <mergeCell ref="BR138:BS138"/>
    <mergeCell ref="BW138:BY138"/>
    <mergeCell ref="BM139:BN139"/>
    <mergeCell ref="BR139:BS139"/>
    <mergeCell ref="BW139:BY139"/>
    <mergeCell ref="BH143:BL143"/>
    <mergeCell ref="BM143:BN143"/>
    <mergeCell ref="BP143:BQ143"/>
    <mergeCell ref="BR143:BS143"/>
    <mergeCell ref="BU143:BV143"/>
    <mergeCell ref="BW143:BY143"/>
    <mergeCell ref="BP138:BQ138"/>
    <mergeCell ref="BP139:BQ139"/>
    <mergeCell ref="BP140:BQ140"/>
    <mergeCell ref="BR140:BS140"/>
    <mergeCell ref="BP141:BQ141"/>
    <mergeCell ref="BR141:BS141"/>
    <mergeCell ref="BR142:BS142"/>
    <mergeCell ref="AL148:AP148"/>
    <mergeCell ref="AL149:AP149"/>
    <mergeCell ref="AL141:AP141"/>
    <mergeCell ref="AL142:AP142"/>
    <mergeCell ref="AL143:AP143"/>
    <mergeCell ref="AL144:AP144"/>
    <mergeCell ref="AL145:AP145"/>
    <mergeCell ref="AL146:AP146"/>
    <mergeCell ref="AL147:AP147"/>
    <mergeCell ref="B134:F134"/>
    <mergeCell ref="G134:K134"/>
    <mergeCell ref="L134:P134"/>
    <mergeCell ref="G135:K135"/>
    <mergeCell ref="L135:P135"/>
    <mergeCell ref="AG135:AK135"/>
    <mergeCell ref="AL135:AP135"/>
    <mergeCell ref="B135:F135"/>
    <mergeCell ref="B136:F136"/>
    <mergeCell ref="G136:K136"/>
    <mergeCell ref="L136:P136"/>
    <mergeCell ref="B137:F137"/>
    <mergeCell ref="G137:K137"/>
    <mergeCell ref="L137:P137"/>
    <mergeCell ref="G140:K140"/>
    <mergeCell ref="L140:P140"/>
    <mergeCell ref="B138:F138"/>
    <mergeCell ref="G138:K138"/>
    <mergeCell ref="L138:P138"/>
    <mergeCell ref="B139:F139"/>
    <mergeCell ref="G139:K139"/>
    <mergeCell ref="L139:P139"/>
    <mergeCell ref="B140:F140"/>
    <mergeCell ref="AG137:AK137"/>
    <mergeCell ref="AL137:AP137"/>
    <mergeCell ref="AG138:AK138"/>
    <mergeCell ref="AL138:AP138"/>
    <mergeCell ref="AG139:AK139"/>
    <mergeCell ref="AL139:AP139"/>
    <mergeCell ref="AL140:AP140"/>
    <mergeCell ref="AG140:AK140"/>
    <mergeCell ref="AG141:AK141"/>
    <mergeCell ref="AG142:AK142"/>
    <mergeCell ref="AG143:AK143"/>
    <mergeCell ref="AG144:AK144"/>
    <mergeCell ref="AG145:AK145"/>
    <mergeCell ref="AG146:AK146"/>
    <mergeCell ref="AG147:AK147"/>
    <mergeCell ref="AG148:AK148"/>
    <mergeCell ref="AG149:AK149"/>
    <mergeCell ref="AG150:AK150"/>
    <mergeCell ref="AL150:AP150"/>
    <mergeCell ref="AG151:AK151"/>
    <mergeCell ref="AL151:AP151"/>
    <mergeCell ref="G143:K143"/>
    <mergeCell ref="L143:P143"/>
    <mergeCell ref="B141:F141"/>
    <mergeCell ref="G141:K141"/>
    <mergeCell ref="L141:P141"/>
    <mergeCell ref="B142:F142"/>
    <mergeCell ref="G142:K142"/>
    <mergeCell ref="L142:P142"/>
    <mergeCell ref="B143:F143"/>
    <mergeCell ref="G146:K146"/>
    <mergeCell ref="L146:P146"/>
    <mergeCell ref="B144:F144"/>
    <mergeCell ref="G144:K144"/>
    <mergeCell ref="L144:P144"/>
    <mergeCell ref="B145:F145"/>
    <mergeCell ref="G145:K145"/>
    <mergeCell ref="L145:P145"/>
    <mergeCell ref="B146:F146"/>
    <mergeCell ref="G149:K149"/>
    <mergeCell ref="L149:P149"/>
    <mergeCell ref="B147:F147"/>
    <mergeCell ref="G147:K147"/>
    <mergeCell ref="L147:P147"/>
    <mergeCell ref="B148:F148"/>
    <mergeCell ref="G148:K148"/>
    <mergeCell ref="L148:P148"/>
    <mergeCell ref="B149:F149"/>
    <mergeCell ref="G154:H154"/>
    <mergeCell ref="I154:J154"/>
    <mergeCell ref="AY156:AZ156"/>
    <mergeCell ref="BA156:BB156"/>
    <mergeCell ref="AC156:AL156"/>
    <mergeCell ref="AM156:AN156"/>
    <mergeCell ref="AO156:AP156"/>
    <mergeCell ref="AQ156:AR156"/>
    <mergeCell ref="AS156:AT156"/>
    <mergeCell ref="AU156:AV156"/>
    <mergeCell ref="AW156:AX156"/>
    <mergeCell ref="AY157:AZ157"/>
    <mergeCell ref="BA157:BB157"/>
    <mergeCell ref="AC157:AL157"/>
    <mergeCell ref="AM157:AN157"/>
    <mergeCell ref="AO157:AP157"/>
    <mergeCell ref="AQ157:AR157"/>
    <mergeCell ref="AS157:AT157"/>
    <mergeCell ref="AU157:AV157"/>
    <mergeCell ref="AW157:AX157"/>
    <mergeCell ref="AY158:AZ158"/>
    <mergeCell ref="BA158:BB158"/>
    <mergeCell ref="AC158:AL158"/>
    <mergeCell ref="AM158:AN158"/>
    <mergeCell ref="AO158:AP158"/>
    <mergeCell ref="AQ158:AR158"/>
    <mergeCell ref="AS158:AT158"/>
    <mergeCell ref="AU158:AV158"/>
    <mergeCell ref="AW158:AX158"/>
    <mergeCell ref="A158:F158"/>
    <mergeCell ref="G158:H158"/>
    <mergeCell ref="I158:J158"/>
    <mergeCell ref="K158:N158"/>
    <mergeCell ref="O158:R158"/>
    <mergeCell ref="S158:X158"/>
    <mergeCell ref="Y158:AB158"/>
    <mergeCell ref="A159:F159"/>
    <mergeCell ref="G159:H159"/>
    <mergeCell ref="I159:J159"/>
    <mergeCell ref="K159:N159"/>
    <mergeCell ref="O159:R159"/>
    <mergeCell ref="S159:X159"/>
    <mergeCell ref="Y159:AB159"/>
    <mergeCell ref="AY159:AZ159"/>
    <mergeCell ref="BA159:BB159"/>
    <mergeCell ref="AC159:AL159"/>
    <mergeCell ref="AM159:AN159"/>
    <mergeCell ref="AO159:AP159"/>
    <mergeCell ref="AQ159:AR159"/>
    <mergeCell ref="AS159:AT159"/>
    <mergeCell ref="AU159:AV159"/>
    <mergeCell ref="AW159:AX159"/>
    <mergeCell ref="AC86:AE86"/>
    <mergeCell ref="AF86:AH86"/>
    <mergeCell ref="AI86:AQ86"/>
    <mergeCell ref="AR86:AT86"/>
    <mergeCell ref="AU86:AX86"/>
    <mergeCell ref="AY86:BB86"/>
    <mergeCell ref="A86:G86"/>
    <mergeCell ref="H86:J86"/>
    <mergeCell ref="K86:N86"/>
    <mergeCell ref="O86:P86"/>
    <mergeCell ref="Q86:T86"/>
    <mergeCell ref="U86:X86"/>
    <mergeCell ref="Y86:AB86"/>
    <mergeCell ref="AC87:AE87"/>
    <mergeCell ref="AF87:AH87"/>
    <mergeCell ref="AI87:AQ87"/>
    <mergeCell ref="AR87:AT87"/>
    <mergeCell ref="AU87:AX87"/>
    <mergeCell ref="AY87:BB87"/>
    <mergeCell ref="A87:G87"/>
    <mergeCell ref="H87:J87"/>
    <mergeCell ref="K87:N87"/>
    <mergeCell ref="O87:P87"/>
    <mergeCell ref="Q87:T87"/>
    <mergeCell ref="U87:X87"/>
    <mergeCell ref="Y87:AB87"/>
    <mergeCell ref="AC88:AE88"/>
    <mergeCell ref="AF88:AH88"/>
    <mergeCell ref="AI88:AQ88"/>
    <mergeCell ref="AR88:AT88"/>
    <mergeCell ref="AU88:AX88"/>
    <mergeCell ref="AY88:BB88"/>
    <mergeCell ref="A88:G88"/>
    <mergeCell ref="H88:J88"/>
    <mergeCell ref="K88:N88"/>
    <mergeCell ref="O88:P88"/>
    <mergeCell ref="Q88:T88"/>
    <mergeCell ref="U88:X88"/>
    <mergeCell ref="Y88:AB88"/>
    <mergeCell ref="AC89:AE89"/>
    <mergeCell ref="AF89:AH89"/>
    <mergeCell ref="AI89:AQ89"/>
    <mergeCell ref="AR89:AT89"/>
    <mergeCell ref="AU89:AX89"/>
    <mergeCell ref="AY89:BB89"/>
    <mergeCell ref="A89:G89"/>
    <mergeCell ref="H89:J89"/>
    <mergeCell ref="K89:N89"/>
    <mergeCell ref="O89:P89"/>
    <mergeCell ref="Q89:T89"/>
    <mergeCell ref="U89:X89"/>
    <mergeCell ref="Y89:AB89"/>
    <mergeCell ref="AC90:AE90"/>
    <mergeCell ref="AF90:AH90"/>
    <mergeCell ref="AI90:AQ90"/>
    <mergeCell ref="AR90:AT90"/>
    <mergeCell ref="AU90:AX90"/>
    <mergeCell ref="AY90:BB90"/>
    <mergeCell ref="A90:G90"/>
    <mergeCell ref="H90:J90"/>
    <mergeCell ref="K90:N90"/>
    <mergeCell ref="O90:P90"/>
    <mergeCell ref="Q90:T90"/>
    <mergeCell ref="U90:X90"/>
    <mergeCell ref="Y90:AB90"/>
    <mergeCell ref="AC91:AE91"/>
    <mergeCell ref="AF91:AH91"/>
    <mergeCell ref="AI91:AQ91"/>
    <mergeCell ref="AR91:AT91"/>
    <mergeCell ref="AU91:AX91"/>
    <mergeCell ref="AY91:BB91"/>
    <mergeCell ref="A91:G91"/>
    <mergeCell ref="H91:J91"/>
    <mergeCell ref="K91:N91"/>
    <mergeCell ref="O91:P91"/>
    <mergeCell ref="Q91:T91"/>
    <mergeCell ref="U91:X91"/>
    <mergeCell ref="Y91:AB91"/>
    <mergeCell ref="AC92:AE92"/>
    <mergeCell ref="AF92:AH92"/>
    <mergeCell ref="AI92:AQ92"/>
    <mergeCell ref="AR92:AT92"/>
    <mergeCell ref="AU92:AX92"/>
    <mergeCell ref="AY92:BB92"/>
    <mergeCell ref="A92:G92"/>
    <mergeCell ref="H92:J92"/>
    <mergeCell ref="K92:N92"/>
    <mergeCell ref="O92:P92"/>
    <mergeCell ref="Q92:T92"/>
    <mergeCell ref="U92:X92"/>
    <mergeCell ref="Y92:AB92"/>
    <mergeCell ref="AC93:AE93"/>
    <mergeCell ref="AF93:AH93"/>
    <mergeCell ref="AI93:AQ93"/>
    <mergeCell ref="AR93:AT93"/>
    <mergeCell ref="AU93:AX93"/>
    <mergeCell ref="AY93:BB93"/>
    <mergeCell ref="A93:G93"/>
    <mergeCell ref="H93:J93"/>
    <mergeCell ref="K93:N93"/>
    <mergeCell ref="O93:P93"/>
    <mergeCell ref="Q93:T93"/>
    <mergeCell ref="U93:X93"/>
    <mergeCell ref="Y93:AB93"/>
    <mergeCell ref="AC94:AE94"/>
    <mergeCell ref="AF94:AH94"/>
    <mergeCell ref="AI94:AQ94"/>
    <mergeCell ref="AR94:AT94"/>
    <mergeCell ref="AU94:AX94"/>
    <mergeCell ref="AY94:BB94"/>
    <mergeCell ref="A94:G94"/>
    <mergeCell ref="H94:J94"/>
    <mergeCell ref="K94:N94"/>
    <mergeCell ref="O94:P94"/>
    <mergeCell ref="Q94:T94"/>
    <mergeCell ref="U94:X94"/>
    <mergeCell ref="Y94:AB94"/>
    <mergeCell ref="AC95:AE95"/>
    <mergeCell ref="AF95:AH95"/>
    <mergeCell ref="AI95:AQ95"/>
    <mergeCell ref="AR95:AT95"/>
    <mergeCell ref="AU95:AX95"/>
    <mergeCell ref="AY95:BB95"/>
    <mergeCell ref="A95:G95"/>
    <mergeCell ref="H95:J95"/>
    <mergeCell ref="K95:N95"/>
    <mergeCell ref="O95:P95"/>
    <mergeCell ref="Q95:T95"/>
    <mergeCell ref="U95:X95"/>
    <mergeCell ref="Y95:AB95"/>
    <mergeCell ref="AC96:AE96"/>
    <mergeCell ref="AF96:AH96"/>
    <mergeCell ref="AI96:AQ96"/>
    <mergeCell ref="AR96:AT96"/>
    <mergeCell ref="AU96:AX96"/>
    <mergeCell ref="AY96:BB96"/>
    <mergeCell ref="A96:G96"/>
    <mergeCell ref="H96:J96"/>
    <mergeCell ref="K96:N96"/>
    <mergeCell ref="O96:P96"/>
    <mergeCell ref="Q96:T96"/>
    <mergeCell ref="U96:X96"/>
    <mergeCell ref="Y96:AB96"/>
    <mergeCell ref="AC97:AE97"/>
    <mergeCell ref="AF97:AH97"/>
    <mergeCell ref="AI97:AQ97"/>
    <mergeCell ref="AR97:AT97"/>
    <mergeCell ref="AU97:AX97"/>
    <mergeCell ref="AY97:BB97"/>
    <mergeCell ref="A97:G97"/>
    <mergeCell ref="H97:J97"/>
    <mergeCell ref="K97:N97"/>
    <mergeCell ref="O97:P97"/>
    <mergeCell ref="Q97:T97"/>
    <mergeCell ref="U97:X97"/>
    <mergeCell ref="Y97:AB97"/>
    <mergeCell ref="AC98:AE98"/>
    <mergeCell ref="AF98:AH98"/>
    <mergeCell ref="AI98:AQ98"/>
    <mergeCell ref="AR98:AT98"/>
    <mergeCell ref="AU98:AX98"/>
    <mergeCell ref="AY98:BB98"/>
    <mergeCell ref="A98:G98"/>
    <mergeCell ref="H98:J98"/>
    <mergeCell ref="K98:N98"/>
    <mergeCell ref="O98:P98"/>
    <mergeCell ref="Q98:T98"/>
    <mergeCell ref="U98:X98"/>
    <mergeCell ref="Y98:AB98"/>
    <mergeCell ref="AC99:AE99"/>
    <mergeCell ref="AF99:AH99"/>
    <mergeCell ref="AI99:AQ99"/>
    <mergeCell ref="AR99:AT99"/>
    <mergeCell ref="AU99:AX99"/>
    <mergeCell ref="AY99:BB99"/>
    <mergeCell ref="A99:G99"/>
    <mergeCell ref="H99:J99"/>
    <mergeCell ref="K99:N99"/>
    <mergeCell ref="O99:P99"/>
    <mergeCell ref="Q99:T99"/>
    <mergeCell ref="U99:X99"/>
    <mergeCell ref="Y99:AB99"/>
    <mergeCell ref="AC100:AE100"/>
    <mergeCell ref="AF100:AH100"/>
    <mergeCell ref="AI100:AQ100"/>
    <mergeCell ref="AR100:AT100"/>
    <mergeCell ref="AU100:AX100"/>
    <mergeCell ref="AY100:BB100"/>
    <mergeCell ref="A100:G100"/>
    <mergeCell ref="H100:J100"/>
    <mergeCell ref="K100:N100"/>
    <mergeCell ref="O100:P100"/>
    <mergeCell ref="Q100:T100"/>
    <mergeCell ref="U100:X100"/>
    <mergeCell ref="Y100:AB100"/>
    <mergeCell ref="AC101:AE101"/>
    <mergeCell ref="AF101:AH101"/>
    <mergeCell ref="AI101:AQ101"/>
    <mergeCell ref="AR101:AT101"/>
    <mergeCell ref="AU101:AX101"/>
    <mergeCell ref="AY101:BB101"/>
    <mergeCell ref="A101:G101"/>
    <mergeCell ref="H101:J101"/>
    <mergeCell ref="K101:N101"/>
    <mergeCell ref="O101:P101"/>
    <mergeCell ref="Q101:T101"/>
    <mergeCell ref="U101:X101"/>
    <mergeCell ref="Y101:AB101"/>
    <mergeCell ref="AC102:AE102"/>
    <mergeCell ref="AF102:AH102"/>
    <mergeCell ref="AI102:AQ102"/>
    <mergeCell ref="AR102:AT102"/>
    <mergeCell ref="AU102:AX102"/>
    <mergeCell ref="AY102:BB102"/>
    <mergeCell ref="A102:G102"/>
    <mergeCell ref="H102:J102"/>
    <mergeCell ref="K102:N102"/>
    <mergeCell ref="O102:P102"/>
    <mergeCell ref="Q102:T102"/>
    <mergeCell ref="U102:X102"/>
    <mergeCell ref="Y102:AB102"/>
    <mergeCell ref="AC103:AE103"/>
    <mergeCell ref="AF103:AH103"/>
    <mergeCell ref="AI103:AQ103"/>
    <mergeCell ref="AR103:AT103"/>
    <mergeCell ref="AU103:AX103"/>
    <mergeCell ref="AY103:BB103"/>
    <mergeCell ref="A103:G103"/>
    <mergeCell ref="H103:J103"/>
    <mergeCell ref="K103:N103"/>
    <mergeCell ref="O103:P103"/>
    <mergeCell ref="Q103:T103"/>
    <mergeCell ref="U103:X103"/>
    <mergeCell ref="Y103:AB103"/>
    <mergeCell ref="AC104:AE104"/>
    <mergeCell ref="AF104:AH104"/>
    <mergeCell ref="AI104:AQ104"/>
    <mergeCell ref="AR104:AT104"/>
    <mergeCell ref="AU104:AX104"/>
    <mergeCell ref="AY104:BB104"/>
    <mergeCell ref="A104:G104"/>
    <mergeCell ref="H104:J104"/>
    <mergeCell ref="K104:N104"/>
    <mergeCell ref="O104:P104"/>
    <mergeCell ref="Q104:T104"/>
    <mergeCell ref="U104:X104"/>
    <mergeCell ref="Y104:AB104"/>
    <mergeCell ref="AC105:AE105"/>
    <mergeCell ref="AF105:AH105"/>
    <mergeCell ref="AI105:AQ105"/>
    <mergeCell ref="AR105:AT105"/>
    <mergeCell ref="AU105:AX105"/>
    <mergeCell ref="AY105:BB105"/>
    <mergeCell ref="A105:G105"/>
    <mergeCell ref="H105:J105"/>
    <mergeCell ref="K105:N105"/>
    <mergeCell ref="O105:P105"/>
    <mergeCell ref="Q105:T105"/>
    <mergeCell ref="U105:X105"/>
    <mergeCell ref="Y105:AB105"/>
    <mergeCell ref="AC106:AE106"/>
    <mergeCell ref="AF106:AH106"/>
    <mergeCell ref="AI106:AQ106"/>
    <mergeCell ref="AR106:AT106"/>
    <mergeCell ref="AU106:AX106"/>
    <mergeCell ref="AY106:BB106"/>
    <mergeCell ref="A106:G106"/>
    <mergeCell ref="H106:J106"/>
    <mergeCell ref="K106:N106"/>
    <mergeCell ref="O106:P106"/>
    <mergeCell ref="Q106:T106"/>
    <mergeCell ref="U106:X106"/>
    <mergeCell ref="Y106:AB106"/>
    <mergeCell ref="AC107:AE107"/>
    <mergeCell ref="AF107:AH107"/>
    <mergeCell ref="AI107:AQ107"/>
    <mergeCell ref="AR107:AT107"/>
    <mergeCell ref="AU107:AX107"/>
    <mergeCell ref="AY107:BB107"/>
    <mergeCell ref="A107:G107"/>
    <mergeCell ref="H107:J107"/>
    <mergeCell ref="K107:N107"/>
    <mergeCell ref="O107:P107"/>
    <mergeCell ref="Q107:T107"/>
    <mergeCell ref="U107:X107"/>
    <mergeCell ref="Y107:AB107"/>
    <mergeCell ref="AC108:AE108"/>
    <mergeCell ref="AF108:AH108"/>
    <mergeCell ref="AI108:AQ108"/>
    <mergeCell ref="AR108:AT108"/>
    <mergeCell ref="AU108:AX108"/>
    <mergeCell ref="AY108:BB108"/>
    <mergeCell ref="A108:G108"/>
    <mergeCell ref="H108:J108"/>
    <mergeCell ref="K108:N108"/>
    <mergeCell ref="O108:P108"/>
    <mergeCell ref="Q108:T108"/>
    <mergeCell ref="U108:X108"/>
    <mergeCell ref="Y108:AB108"/>
    <mergeCell ref="AC109:AE109"/>
    <mergeCell ref="AF109:AH109"/>
    <mergeCell ref="AI109:AQ109"/>
    <mergeCell ref="AR109:AT109"/>
    <mergeCell ref="AU109:AX109"/>
    <mergeCell ref="AY109:BB109"/>
    <mergeCell ref="A109:G109"/>
    <mergeCell ref="H109:J109"/>
    <mergeCell ref="K109:N109"/>
    <mergeCell ref="O109:P109"/>
    <mergeCell ref="Q109:T109"/>
    <mergeCell ref="U109:X109"/>
    <mergeCell ref="Y109:AB109"/>
    <mergeCell ref="AC110:AE110"/>
    <mergeCell ref="AF110:AH110"/>
    <mergeCell ref="AI110:AQ110"/>
    <mergeCell ref="AR110:AT110"/>
    <mergeCell ref="AU110:AX110"/>
    <mergeCell ref="AY110:BB110"/>
    <mergeCell ref="A110:G110"/>
    <mergeCell ref="H110:J110"/>
    <mergeCell ref="K110:N110"/>
    <mergeCell ref="O110:P110"/>
    <mergeCell ref="Q110:T110"/>
    <mergeCell ref="U110:X110"/>
    <mergeCell ref="Y110:AB110"/>
    <mergeCell ref="AC111:AE111"/>
    <mergeCell ref="AF111:AH111"/>
    <mergeCell ref="AI111:AQ111"/>
    <mergeCell ref="AR111:AT111"/>
    <mergeCell ref="AU111:AX111"/>
    <mergeCell ref="AY111:BB111"/>
    <mergeCell ref="A111:G111"/>
    <mergeCell ref="H111:J111"/>
    <mergeCell ref="K111:N111"/>
    <mergeCell ref="O111:P111"/>
    <mergeCell ref="Q111:T111"/>
    <mergeCell ref="U111:X111"/>
    <mergeCell ref="Y111:AB111"/>
    <mergeCell ref="AC112:AE112"/>
    <mergeCell ref="AF112:AH112"/>
    <mergeCell ref="AI112:AQ112"/>
    <mergeCell ref="AR112:AT112"/>
    <mergeCell ref="AU112:AX112"/>
    <mergeCell ref="AY112:BB112"/>
    <mergeCell ref="A112:G112"/>
    <mergeCell ref="H112:J112"/>
    <mergeCell ref="K112:N112"/>
    <mergeCell ref="O112:P112"/>
    <mergeCell ref="Q112:T112"/>
    <mergeCell ref="U112:X112"/>
    <mergeCell ref="Y112:AB112"/>
    <mergeCell ref="AC113:AE113"/>
    <mergeCell ref="AF113:AH113"/>
    <mergeCell ref="AI113:AQ113"/>
    <mergeCell ref="AR113:AT113"/>
    <mergeCell ref="AU113:AX113"/>
    <mergeCell ref="AY113:BB113"/>
    <mergeCell ref="A113:G113"/>
    <mergeCell ref="H113:J113"/>
    <mergeCell ref="K113:N113"/>
    <mergeCell ref="O113:P113"/>
    <mergeCell ref="Q113:T113"/>
    <mergeCell ref="U113:X113"/>
    <mergeCell ref="Y113:AB113"/>
    <mergeCell ref="AC114:AE114"/>
    <mergeCell ref="AF114:AH114"/>
    <mergeCell ref="AI114:AQ114"/>
    <mergeCell ref="AR114:AT114"/>
    <mergeCell ref="AU114:AX114"/>
    <mergeCell ref="AY114:BB114"/>
    <mergeCell ref="A114:G114"/>
    <mergeCell ref="H114:J114"/>
    <mergeCell ref="K114:N114"/>
    <mergeCell ref="O114:P114"/>
    <mergeCell ref="Q114:T114"/>
    <mergeCell ref="U114:X114"/>
    <mergeCell ref="Y114:AB114"/>
    <mergeCell ref="AC115:AE115"/>
    <mergeCell ref="AF115:AH115"/>
    <mergeCell ref="AI115:AQ115"/>
    <mergeCell ref="AR115:AT115"/>
    <mergeCell ref="AU115:AX115"/>
    <mergeCell ref="AY115:BB115"/>
    <mergeCell ref="A115:G115"/>
    <mergeCell ref="H115:J115"/>
    <mergeCell ref="K115:N115"/>
    <mergeCell ref="O115:P115"/>
    <mergeCell ref="Q115:T115"/>
    <mergeCell ref="U115:X115"/>
    <mergeCell ref="Y115:AB115"/>
    <mergeCell ref="AC116:AE116"/>
    <mergeCell ref="AF116:AH116"/>
    <mergeCell ref="AI116:AQ116"/>
    <mergeCell ref="AR116:AT116"/>
    <mergeCell ref="AU116:AX116"/>
    <mergeCell ref="AY116:BB116"/>
    <mergeCell ref="A116:G116"/>
    <mergeCell ref="H116:J116"/>
    <mergeCell ref="K116:N116"/>
    <mergeCell ref="O116:P116"/>
    <mergeCell ref="Q116:T116"/>
    <mergeCell ref="U116:X116"/>
    <mergeCell ref="Y116:AB116"/>
    <mergeCell ref="AC117:AE117"/>
    <mergeCell ref="AF117:AH117"/>
    <mergeCell ref="AI117:AQ117"/>
    <mergeCell ref="AR117:AT117"/>
    <mergeCell ref="AU117:AX117"/>
    <mergeCell ref="AY117:BB117"/>
    <mergeCell ref="A117:G117"/>
    <mergeCell ref="H117:J117"/>
    <mergeCell ref="K117:N117"/>
    <mergeCell ref="O117:P117"/>
    <mergeCell ref="Q117:T117"/>
    <mergeCell ref="U117:X117"/>
    <mergeCell ref="Y117:AB117"/>
    <mergeCell ref="AC118:AE118"/>
    <mergeCell ref="AF118:AH118"/>
    <mergeCell ref="AI118:AQ118"/>
    <mergeCell ref="AR118:AT118"/>
    <mergeCell ref="AU118:AX118"/>
    <mergeCell ref="AY118:BB118"/>
    <mergeCell ref="A118:G118"/>
    <mergeCell ref="H118:J118"/>
    <mergeCell ref="K118:N118"/>
    <mergeCell ref="O118:P118"/>
    <mergeCell ref="Q118:T118"/>
    <mergeCell ref="U118:X118"/>
    <mergeCell ref="Y118:AB118"/>
    <mergeCell ref="AC119:AE119"/>
    <mergeCell ref="AF119:AH119"/>
    <mergeCell ref="AI119:AQ119"/>
    <mergeCell ref="AR119:AT119"/>
    <mergeCell ref="AU119:AX119"/>
    <mergeCell ref="AY119:BB119"/>
    <mergeCell ref="A119:G119"/>
    <mergeCell ref="H119:J119"/>
    <mergeCell ref="K119:N119"/>
    <mergeCell ref="O119:P119"/>
    <mergeCell ref="Q119:T119"/>
    <mergeCell ref="U119:X119"/>
    <mergeCell ref="Y119:AB119"/>
    <mergeCell ref="AC120:AE120"/>
    <mergeCell ref="AF120:AH120"/>
    <mergeCell ref="AI120:AQ120"/>
    <mergeCell ref="AR120:AT120"/>
    <mergeCell ref="AU120:AX120"/>
    <mergeCell ref="AY120:BB120"/>
    <mergeCell ref="A120:G120"/>
    <mergeCell ref="H120:J120"/>
    <mergeCell ref="K120:N120"/>
    <mergeCell ref="O120:P120"/>
    <mergeCell ref="Q120:T120"/>
    <mergeCell ref="U120:X120"/>
    <mergeCell ref="Y120:AB120"/>
    <mergeCell ref="AC121:AE121"/>
    <mergeCell ref="AF121:AH121"/>
    <mergeCell ref="AI121:AQ121"/>
    <mergeCell ref="AR121:AT121"/>
    <mergeCell ref="AU121:AX121"/>
    <mergeCell ref="AY121:BB121"/>
    <mergeCell ref="A121:G121"/>
    <mergeCell ref="H121:J121"/>
    <mergeCell ref="K121:N121"/>
    <mergeCell ref="O121:P121"/>
    <mergeCell ref="Q121:T121"/>
    <mergeCell ref="U121:X121"/>
    <mergeCell ref="Y121:AB121"/>
    <mergeCell ref="AC122:AE122"/>
    <mergeCell ref="AF122:AH122"/>
    <mergeCell ref="AI122:AQ122"/>
    <mergeCell ref="AR122:AT122"/>
    <mergeCell ref="AU122:AX122"/>
    <mergeCell ref="AY122:BB122"/>
    <mergeCell ref="A122:G122"/>
    <mergeCell ref="H122:J122"/>
    <mergeCell ref="K122:N122"/>
    <mergeCell ref="O122:P122"/>
    <mergeCell ref="Q122:T122"/>
    <mergeCell ref="U122:X122"/>
    <mergeCell ref="Y122:AB122"/>
    <mergeCell ref="AC123:AE123"/>
    <mergeCell ref="AF123:AH123"/>
    <mergeCell ref="AI123:AQ123"/>
    <mergeCell ref="AR123:AT123"/>
    <mergeCell ref="AU123:AX123"/>
    <mergeCell ref="AY123:BB123"/>
    <mergeCell ref="A123:G123"/>
    <mergeCell ref="H123:J123"/>
    <mergeCell ref="K123:N123"/>
    <mergeCell ref="O123:P123"/>
    <mergeCell ref="Q123:T123"/>
    <mergeCell ref="U123:X123"/>
    <mergeCell ref="Y123:AB123"/>
    <mergeCell ref="AC124:AE124"/>
    <mergeCell ref="AF124:AH124"/>
    <mergeCell ref="AI124:AQ124"/>
    <mergeCell ref="AR124:AT124"/>
    <mergeCell ref="AU124:AX124"/>
    <mergeCell ref="AY124:BB124"/>
    <mergeCell ref="A124:G124"/>
    <mergeCell ref="H124:J124"/>
    <mergeCell ref="K124:N124"/>
    <mergeCell ref="O124:P124"/>
    <mergeCell ref="Q124:T124"/>
    <mergeCell ref="U124:X124"/>
    <mergeCell ref="Y124:AB124"/>
    <mergeCell ref="AC125:AE125"/>
    <mergeCell ref="AF125:AH125"/>
    <mergeCell ref="AI125:AQ125"/>
    <mergeCell ref="AR125:AT125"/>
    <mergeCell ref="AU125:AX125"/>
    <mergeCell ref="AY125:BB125"/>
    <mergeCell ref="A125:G125"/>
    <mergeCell ref="H125:J125"/>
    <mergeCell ref="K125:N125"/>
    <mergeCell ref="O125:P125"/>
    <mergeCell ref="Q125:T125"/>
    <mergeCell ref="U125:X125"/>
    <mergeCell ref="Y125:AB125"/>
    <mergeCell ref="AC48:AE48"/>
    <mergeCell ref="AF48:AH48"/>
    <mergeCell ref="AI48:AQ48"/>
    <mergeCell ref="AR48:AT48"/>
    <mergeCell ref="AU48:AX48"/>
    <mergeCell ref="AY48:BB48"/>
    <mergeCell ref="A48:G48"/>
    <mergeCell ref="H48:J48"/>
    <mergeCell ref="K48:N48"/>
    <mergeCell ref="O48:P48"/>
    <mergeCell ref="Q48:T48"/>
    <mergeCell ref="U48:X48"/>
    <mergeCell ref="Y48:AB48"/>
    <mergeCell ref="AC49:AE49"/>
    <mergeCell ref="AF49:AH49"/>
    <mergeCell ref="AI49:AQ49"/>
    <mergeCell ref="AR49:AT49"/>
    <mergeCell ref="AU49:AX49"/>
    <mergeCell ref="AY49:BB49"/>
    <mergeCell ref="A49:G49"/>
    <mergeCell ref="H49:J49"/>
    <mergeCell ref="K49:N49"/>
    <mergeCell ref="O49:P49"/>
    <mergeCell ref="Q49:T49"/>
    <mergeCell ref="U49:X49"/>
    <mergeCell ref="Y49:AB49"/>
    <mergeCell ref="AC50:AE50"/>
    <mergeCell ref="AF50:AH50"/>
    <mergeCell ref="AI50:AQ50"/>
    <mergeCell ref="AR50:AT50"/>
    <mergeCell ref="AU50:AX50"/>
    <mergeCell ref="AY50:BB50"/>
    <mergeCell ref="A50:G50"/>
    <mergeCell ref="H50:J50"/>
    <mergeCell ref="K50:N50"/>
    <mergeCell ref="O50:P50"/>
    <mergeCell ref="Q50:T50"/>
    <mergeCell ref="U50:X50"/>
    <mergeCell ref="Y50:AB50"/>
    <mergeCell ref="AL127:AP127"/>
    <mergeCell ref="AQ127:AS127"/>
    <mergeCell ref="B128:F128"/>
    <mergeCell ref="G128:K128"/>
    <mergeCell ref="L128:P128"/>
    <mergeCell ref="AG128:AK128"/>
    <mergeCell ref="AL128:AP128"/>
    <mergeCell ref="BU131:BV131"/>
    <mergeCell ref="BU132:BV132"/>
    <mergeCell ref="BH131:BL131"/>
    <mergeCell ref="BM131:BN131"/>
    <mergeCell ref="BR131:BS131"/>
    <mergeCell ref="BW131:BY131"/>
    <mergeCell ref="BM132:BN132"/>
    <mergeCell ref="BR132:BS132"/>
    <mergeCell ref="BW132:BY132"/>
    <mergeCell ref="A165:F165"/>
    <mergeCell ref="N165:O165"/>
    <mergeCell ref="P165:T165"/>
    <mergeCell ref="Z165:AD165"/>
    <mergeCell ref="N166:O166"/>
    <mergeCell ref="P166:T166"/>
    <mergeCell ref="Z166:AD166"/>
    <mergeCell ref="A166:F166"/>
    <mergeCell ref="A167:F167"/>
    <mergeCell ref="N167:O167"/>
    <mergeCell ref="P167:T167"/>
    <mergeCell ref="A168:F168"/>
    <mergeCell ref="N168:O168"/>
    <mergeCell ref="P168:T168"/>
    <mergeCell ref="N170:O170"/>
    <mergeCell ref="P170:T170"/>
    <mergeCell ref="Z171:AD171"/>
    <mergeCell ref="Z172:AD172"/>
    <mergeCell ref="Z173:AD173"/>
    <mergeCell ref="Z174:AD174"/>
    <mergeCell ref="Z175:AD175"/>
    <mergeCell ref="Z167:AD167"/>
    <mergeCell ref="Z168:AD168"/>
    <mergeCell ref="A169:F169"/>
    <mergeCell ref="N169:O169"/>
    <mergeCell ref="P169:T169"/>
    <mergeCell ref="Z169:AD169"/>
    <mergeCell ref="Z170:AD170"/>
    <mergeCell ref="N172:O172"/>
    <mergeCell ref="N173:O173"/>
    <mergeCell ref="A170:F170"/>
    <mergeCell ref="A171:F171"/>
    <mergeCell ref="N171:O171"/>
    <mergeCell ref="P171:T171"/>
    <mergeCell ref="A172:F172"/>
    <mergeCell ref="P172:T172"/>
    <mergeCell ref="P173:T173"/>
    <mergeCell ref="B150:F150"/>
    <mergeCell ref="G150:K150"/>
    <mergeCell ref="L150:P150"/>
    <mergeCell ref="B151:F151"/>
    <mergeCell ref="G151:K151"/>
    <mergeCell ref="L151:P151"/>
    <mergeCell ref="G152:K152"/>
    <mergeCell ref="K154:N154"/>
    <mergeCell ref="O154:R154"/>
    <mergeCell ref="S154:X154"/>
    <mergeCell ref="Y154:AB154"/>
    <mergeCell ref="B152:F152"/>
    <mergeCell ref="A153:F153"/>
    <mergeCell ref="G153:H153"/>
    <mergeCell ref="I153:J153"/>
    <mergeCell ref="K153:N153"/>
    <mergeCell ref="O153:R153"/>
    <mergeCell ref="A154:F154"/>
    <mergeCell ref="A155:F155"/>
    <mergeCell ref="G155:H155"/>
    <mergeCell ref="I155:J155"/>
    <mergeCell ref="K155:N155"/>
    <mergeCell ref="O155:R155"/>
    <mergeCell ref="S155:X155"/>
    <mergeCell ref="Y155:AB155"/>
    <mergeCell ref="A156:F156"/>
    <mergeCell ref="G156:H156"/>
    <mergeCell ref="I156:J156"/>
    <mergeCell ref="K156:N156"/>
    <mergeCell ref="O156:R156"/>
    <mergeCell ref="S156:X156"/>
    <mergeCell ref="Y156:AB156"/>
    <mergeCell ref="A157:F157"/>
    <mergeCell ref="G157:H157"/>
    <mergeCell ref="I157:J157"/>
    <mergeCell ref="K157:N157"/>
    <mergeCell ref="O157:R157"/>
    <mergeCell ref="S157:X157"/>
    <mergeCell ref="Y157:AB157"/>
    <mergeCell ref="A173:F173"/>
    <mergeCell ref="A174:F174"/>
    <mergeCell ref="N174:O174"/>
    <mergeCell ref="P174:T174"/>
    <mergeCell ref="A175:F175"/>
    <mergeCell ref="N175:O175"/>
    <mergeCell ref="P175:T175"/>
    <mergeCell ref="A303:F303"/>
    <mergeCell ref="A304:F304"/>
    <mergeCell ref="A305:F305"/>
    <mergeCell ref="A306:F306"/>
    <mergeCell ref="A307:F307"/>
    <mergeCell ref="A308:F308"/>
    <mergeCell ref="A309:F309"/>
    <mergeCell ref="A317:F317"/>
    <mergeCell ref="AJ317:AO317"/>
    <mergeCell ref="G318:O318"/>
    <mergeCell ref="AJ318:AO318"/>
    <mergeCell ref="AJ319:AO319"/>
    <mergeCell ref="AJ320:AO320"/>
    <mergeCell ref="AJ321:AO321"/>
    <mergeCell ref="A310:F310"/>
    <mergeCell ref="A311:F311"/>
    <mergeCell ref="A312:F312"/>
    <mergeCell ref="A313:F313"/>
    <mergeCell ref="A314:F314"/>
    <mergeCell ref="A315:F315"/>
    <mergeCell ref="A316:F316"/>
    <mergeCell ref="A322:F322"/>
    <mergeCell ref="G322:O322"/>
    <mergeCell ref="AJ322:AO322"/>
    <mergeCell ref="A318:F318"/>
    <mergeCell ref="A319:F319"/>
    <mergeCell ref="G319:O319"/>
    <mergeCell ref="A320:F320"/>
    <mergeCell ref="G320:O320"/>
    <mergeCell ref="A321:F321"/>
    <mergeCell ref="G321:O321"/>
    <mergeCell ref="A323:F323"/>
    <mergeCell ref="G323:O323"/>
    <mergeCell ref="AJ323:AO323"/>
    <mergeCell ref="A324:F324"/>
    <mergeCell ref="G324:O324"/>
    <mergeCell ref="A325:F325"/>
    <mergeCell ref="G325:O325"/>
    <mergeCell ref="AJ324:AO324"/>
    <mergeCell ref="AJ325:AO325"/>
    <mergeCell ref="AJ326:AO326"/>
    <mergeCell ref="AJ327:AO327"/>
    <mergeCell ref="AJ328:AO328"/>
    <mergeCell ref="AJ329:AO329"/>
    <mergeCell ref="AJ330:AO330"/>
    <mergeCell ref="G344:O344"/>
    <mergeCell ref="G345:O345"/>
    <mergeCell ref="G337:O337"/>
    <mergeCell ref="G338:O338"/>
    <mergeCell ref="G339:O339"/>
    <mergeCell ref="G340:O340"/>
    <mergeCell ref="G341:O341"/>
    <mergeCell ref="G342:O342"/>
    <mergeCell ref="G343:O343"/>
    <mergeCell ref="AJ341:AO341"/>
    <mergeCell ref="AJ342:AO342"/>
    <mergeCell ref="AJ340:AO340"/>
    <mergeCell ref="AJ343:AO343"/>
    <mergeCell ref="AJ344:AO344"/>
    <mergeCell ref="AJ345:AO345"/>
    <mergeCell ref="AJ346:AO346"/>
    <mergeCell ref="AJ347:AO347"/>
    <mergeCell ref="AJ348:AO348"/>
    <mergeCell ref="A343:F343"/>
    <mergeCell ref="A344:F344"/>
    <mergeCell ref="A345:F345"/>
    <mergeCell ref="A346:F346"/>
    <mergeCell ref="G346:O346"/>
    <mergeCell ref="A347:F347"/>
    <mergeCell ref="G347:O347"/>
    <mergeCell ref="A348:F348"/>
    <mergeCell ref="G348:O348"/>
    <mergeCell ref="A349:F349"/>
    <mergeCell ref="G349:O349"/>
    <mergeCell ref="A350:F350"/>
    <mergeCell ref="G350:O350"/>
    <mergeCell ref="G351:O351"/>
    <mergeCell ref="A351:F351"/>
    <mergeCell ref="A352:F352"/>
    <mergeCell ref="A353:F353"/>
    <mergeCell ref="A354:F354"/>
    <mergeCell ref="A355:F355"/>
    <mergeCell ref="A356:F356"/>
    <mergeCell ref="A357:F357"/>
    <mergeCell ref="A365:F365"/>
    <mergeCell ref="A366:F366"/>
    <mergeCell ref="A367:F367"/>
    <mergeCell ref="A368:F368"/>
    <mergeCell ref="A358:F358"/>
    <mergeCell ref="A359:F359"/>
    <mergeCell ref="A360:F360"/>
    <mergeCell ref="A361:F361"/>
    <mergeCell ref="A362:F362"/>
    <mergeCell ref="A363:F363"/>
    <mergeCell ref="A364:F364"/>
    <mergeCell ref="AJ363:AO363"/>
    <mergeCell ref="AJ364:AO364"/>
    <mergeCell ref="AJ367:AO367"/>
    <mergeCell ref="AJ368:AO368"/>
    <mergeCell ref="AI369:BB369"/>
    <mergeCell ref="AJ356:AO356"/>
    <mergeCell ref="AJ357:AO357"/>
    <mergeCell ref="AJ358:AO358"/>
    <mergeCell ref="AJ359:AO359"/>
    <mergeCell ref="AJ360:AO360"/>
    <mergeCell ref="AJ361:AO361"/>
    <mergeCell ref="AJ362:AO362"/>
    <mergeCell ref="G366:O366"/>
    <mergeCell ref="G367:O367"/>
    <mergeCell ref="G368:O368"/>
    <mergeCell ref="G359:O359"/>
    <mergeCell ref="G360:O360"/>
    <mergeCell ref="G361:O361"/>
    <mergeCell ref="G362:O362"/>
    <mergeCell ref="G363:O363"/>
    <mergeCell ref="G364:O364"/>
    <mergeCell ref="G365:O365"/>
    <mergeCell ref="A326:F326"/>
    <mergeCell ref="G326:O326"/>
    <mergeCell ref="A327:F327"/>
    <mergeCell ref="G327:O327"/>
    <mergeCell ref="A328:F328"/>
    <mergeCell ref="G328:O328"/>
    <mergeCell ref="G329:O329"/>
    <mergeCell ref="A329:F329"/>
    <mergeCell ref="A330:F330"/>
    <mergeCell ref="A331:F331"/>
    <mergeCell ref="A332:F332"/>
    <mergeCell ref="A333:F333"/>
    <mergeCell ref="A334:F334"/>
    <mergeCell ref="A335:F335"/>
    <mergeCell ref="G330:O330"/>
    <mergeCell ref="G331:O331"/>
    <mergeCell ref="G332:O332"/>
    <mergeCell ref="G333:O333"/>
    <mergeCell ref="G334:O334"/>
    <mergeCell ref="G335:O335"/>
    <mergeCell ref="G336:O336"/>
    <mergeCell ref="A336:F336"/>
    <mergeCell ref="A337:F337"/>
    <mergeCell ref="A338:F338"/>
    <mergeCell ref="A339:F339"/>
    <mergeCell ref="A340:F340"/>
    <mergeCell ref="A341:F341"/>
    <mergeCell ref="A342:F342"/>
    <mergeCell ref="G352:O352"/>
    <mergeCell ref="G353:O353"/>
    <mergeCell ref="G354:O354"/>
    <mergeCell ref="G355:O355"/>
    <mergeCell ref="G356:O356"/>
    <mergeCell ref="G357:O357"/>
    <mergeCell ref="G358:O358"/>
    <mergeCell ref="AJ365:AO365"/>
    <mergeCell ref="AJ366:AO366"/>
    <mergeCell ref="A369:T369"/>
    <mergeCell ref="V369:AG369"/>
    <mergeCell ref="AJ349:AO349"/>
    <mergeCell ref="AJ350:AO350"/>
    <mergeCell ref="AJ351:AO351"/>
    <mergeCell ref="AJ352:AO352"/>
    <mergeCell ref="AJ353:AO353"/>
    <mergeCell ref="AJ354:AO354"/>
    <mergeCell ref="AJ355:AO355"/>
    <mergeCell ref="P204:T204"/>
    <mergeCell ref="P205:T205"/>
    <mergeCell ref="Z205:AD205"/>
    <mergeCell ref="P206:T206"/>
    <mergeCell ref="Z206:AD206"/>
    <mergeCell ref="P207:T207"/>
    <mergeCell ref="P208:T208"/>
    <mergeCell ref="Z207:AD207"/>
    <mergeCell ref="Z208:AD208"/>
    <mergeCell ref="N209:O209"/>
    <mergeCell ref="P209:T209"/>
    <mergeCell ref="Z209:AD209"/>
    <mergeCell ref="AK209:AO209"/>
    <mergeCell ref="AW209:BB209"/>
    <mergeCell ref="N210:O210"/>
    <mergeCell ref="N211:O211"/>
    <mergeCell ref="Z210:AD210"/>
    <mergeCell ref="Z211:AD211"/>
    <mergeCell ref="Z212:AD212"/>
    <mergeCell ref="AW210:BB210"/>
    <mergeCell ref="AW211:BB211"/>
    <mergeCell ref="AW212:BB212"/>
    <mergeCell ref="AW213:BB213"/>
    <mergeCell ref="A209:F209"/>
    <mergeCell ref="A210:F210"/>
    <mergeCell ref="P210:T210"/>
    <mergeCell ref="AK210:AO210"/>
    <mergeCell ref="A211:F211"/>
    <mergeCell ref="P211:T211"/>
    <mergeCell ref="AK211:AO211"/>
    <mergeCell ref="AK212:AO212"/>
    <mergeCell ref="AK213:AO213"/>
    <mergeCell ref="P229:T229"/>
    <mergeCell ref="P230:T230"/>
    <mergeCell ref="P231:T231"/>
    <mergeCell ref="P232:T232"/>
    <mergeCell ref="P233:T233"/>
    <mergeCell ref="P234:T234"/>
    <mergeCell ref="N221:O221"/>
    <mergeCell ref="N222:O222"/>
    <mergeCell ref="P222:T222"/>
    <mergeCell ref="P223:T223"/>
    <mergeCell ref="P224:T224"/>
    <mergeCell ref="P225:T225"/>
    <mergeCell ref="P226:T226"/>
    <mergeCell ref="Z229:AD229"/>
    <mergeCell ref="Z230:AD230"/>
    <mergeCell ref="Z231:AD231"/>
    <mergeCell ref="Z232:AD232"/>
    <mergeCell ref="Z233:AD233"/>
    <mergeCell ref="Z234:AD234"/>
    <mergeCell ref="P221:T221"/>
    <mergeCell ref="Z221:AD221"/>
    <mergeCell ref="Z222:AD222"/>
    <mergeCell ref="Z223:AD223"/>
    <mergeCell ref="Z224:AD224"/>
    <mergeCell ref="Z225:AD225"/>
    <mergeCell ref="Z226:AD226"/>
    <mergeCell ref="Z213:AD213"/>
    <mergeCell ref="Z214:AD214"/>
    <mergeCell ref="AK214:AO214"/>
    <mergeCell ref="AW214:BB214"/>
    <mergeCell ref="Z215:AD215"/>
    <mergeCell ref="AK215:AO215"/>
    <mergeCell ref="Z216:AD216"/>
    <mergeCell ref="A212:F212"/>
    <mergeCell ref="P212:T212"/>
    <mergeCell ref="A213:F213"/>
    <mergeCell ref="P213:T213"/>
    <mergeCell ref="A214:F214"/>
    <mergeCell ref="P214:T214"/>
    <mergeCell ref="P215:T215"/>
    <mergeCell ref="AW215:BB215"/>
    <mergeCell ref="AW216:BB216"/>
    <mergeCell ref="AW217:BB217"/>
    <mergeCell ref="AW218:BB218"/>
    <mergeCell ref="AW219:BB219"/>
    <mergeCell ref="AW220:BB220"/>
    <mergeCell ref="AW221:BB221"/>
    <mergeCell ref="N223:O223"/>
    <mergeCell ref="N224:O224"/>
    <mergeCell ref="P227:T227"/>
    <mergeCell ref="P228:T228"/>
    <mergeCell ref="A235:T235"/>
    <mergeCell ref="Z227:AD227"/>
    <mergeCell ref="Z228:AD228"/>
    <mergeCell ref="V235:AG235"/>
    <mergeCell ref="AC236:AK236"/>
    <mergeCell ref="AW222:BB222"/>
    <mergeCell ref="AW223:BB223"/>
    <mergeCell ref="AW224:BB224"/>
    <mergeCell ref="AW225:BB225"/>
    <mergeCell ref="AW226:BB226"/>
    <mergeCell ref="AW227:BB227"/>
    <mergeCell ref="AW228:BB228"/>
    <mergeCell ref="AW229:BB229"/>
    <mergeCell ref="AW230:BB230"/>
    <mergeCell ref="AW231:BB231"/>
    <mergeCell ref="AW232:BB232"/>
    <mergeCell ref="AW233:BB233"/>
    <mergeCell ref="AW234:BB234"/>
    <mergeCell ref="AI235:BB235"/>
    <mergeCell ref="AN236:AS236"/>
    <mergeCell ref="AT236:AY236"/>
    <mergeCell ref="AN237:AS237"/>
    <mergeCell ref="AT237:AY237"/>
    <mergeCell ref="AN238:AS238"/>
    <mergeCell ref="AT238:AY238"/>
    <mergeCell ref="AT239:AY239"/>
    <mergeCell ref="AN239:AS239"/>
    <mergeCell ref="AN240:AS240"/>
    <mergeCell ref="AN241:AS241"/>
    <mergeCell ref="AN242:AS242"/>
    <mergeCell ref="AN243:AS243"/>
    <mergeCell ref="AN244:AS244"/>
    <mergeCell ref="AN245:AS245"/>
    <mergeCell ref="AT247:AY247"/>
    <mergeCell ref="AT248:AY248"/>
    <mergeCell ref="AT249:AY249"/>
    <mergeCell ref="AT240:AY240"/>
    <mergeCell ref="AT241:AY241"/>
    <mergeCell ref="AT242:AY242"/>
    <mergeCell ref="AT243:AY243"/>
    <mergeCell ref="AT244:AY244"/>
    <mergeCell ref="AT245:AY245"/>
    <mergeCell ref="AT246:AY246"/>
    <mergeCell ref="AN246:AS246"/>
    <mergeCell ref="AN247:AS247"/>
    <mergeCell ref="AN248:AS248"/>
    <mergeCell ref="AN249:AS249"/>
    <mergeCell ref="V250:AG250"/>
    <mergeCell ref="AI250:BB250"/>
    <mergeCell ref="AJ251:AO251"/>
    <mergeCell ref="AJ252:AO252"/>
    <mergeCell ref="AJ253:AO253"/>
    <mergeCell ref="AJ254:AO254"/>
    <mergeCell ref="AJ255:AO255"/>
    <mergeCell ref="AJ256:AO256"/>
    <mergeCell ref="AJ257:AO257"/>
    <mergeCell ref="AJ258:AO258"/>
    <mergeCell ref="G262:O262"/>
    <mergeCell ref="G263:O263"/>
    <mergeCell ref="G264:O264"/>
    <mergeCell ref="G265:O265"/>
    <mergeCell ref="G266:O266"/>
    <mergeCell ref="G267:O267"/>
    <mergeCell ref="G268:O268"/>
    <mergeCell ref="G269:O269"/>
    <mergeCell ref="G270:O270"/>
    <mergeCell ref="G271:O271"/>
    <mergeCell ref="G272:O272"/>
    <mergeCell ref="G273:O273"/>
    <mergeCell ref="G274:O274"/>
    <mergeCell ref="G275:O275"/>
    <mergeCell ref="G276:O276"/>
    <mergeCell ref="G277:O277"/>
    <mergeCell ref="G278:O278"/>
    <mergeCell ref="G279:O279"/>
    <mergeCell ref="G280:O280"/>
    <mergeCell ref="G281:O281"/>
    <mergeCell ref="G282:O282"/>
    <mergeCell ref="G283:O283"/>
    <mergeCell ref="G284:O284"/>
    <mergeCell ref="G285:O285"/>
    <mergeCell ref="G286:O286"/>
    <mergeCell ref="G287:O287"/>
    <mergeCell ref="G288:O288"/>
    <mergeCell ref="G289:O289"/>
    <mergeCell ref="G290:O290"/>
    <mergeCell ref="G291:O291"/>
    <mergeCell ref="G292:O292"/>
    <mergeCell ref="G293:O293"/>
    <mergeCell ref="G294:O294"/>
    <mergeCell ref="G295:O295"/>
    <mergeCell ref="G296:O296"/>
    <mergeCell ref="G297:O297"/>
    <mergeCell ref="G298:O298"/>
    <mergeCell ref="G299:O299"/>
    <mergeCell ref="G300:O300"/>
    <mergeCell ref="G301:O301"/>
    <mergeCell ref="G302:O302"/>
    <mergeCell ref="G303:O303"/>
    <mergeCell ref="G311:O311"/>
    <mergeCell ref="G312:O312"/>
    <mergeCell ref="G313:O313"/>
    <mergeCell ref="G314:O314"/>
    <mergeCell ref="G315:O315"/>
    <mergeCell ref="G316:O316"/>
    <mergeCell ref="G317:O317"/>
    <mergeCell ref="G304:O304"/>
    <mergeCell ref="G305:O305"/>
    <mergeCell ref="G306:O306"/>
    <mergeCell ref="G307:O307"/>
    <mergeCell ref="G308:O308"/>
    <mergeCell ref="G309:O309"/>
    <mergeCell ref="G310:O310"/>
    <mergeCell ref="A254:F254"/>
    <mergeCell ref="A255:F255"/>
    <mergeCell ref="A256:F256"/>
    <mergeCell ref="A257:F257"/>
    <mergeCell ref="A258:F258"/>
    <mergeCell ref="A259:F259"/>
    <mergeCell ref="A260:F260"/>
    <mergeCell ref="A261:F261"/>
    <mergeCell ref="A262:F262"/>
    <mergeCell ref="A263:F263"/>
    <mergeCell ref="A264:F264"/>
    <mergeCell ref="A265:F265"/>
    <mergeCell ref="A266:F266"/>
    <mergeCell ref="A267:F267"/>
    <mergeCell ref="A268:F268"/>
    <mergeCell ref="A269:F269"/>
    <mergeCell ref="A270:F270"/>
    <mergeCell ref="A271:F271"/>
    <mergeCell ref="A272:F272"/>
    <mergeCell ref="A273:F273"/>
    <mergeCell ref="A274:F274"/>
    <mergeCell ref="A275:F275"/>
    <mergeCell ref="A276:F276"/>
    <mergeCell ref="A277:F277"/>
    <mergeCell ref="A278:F278"/>
    <mergeCell ref="A279:F279"/>
    <mergeCell ref="A280:F280"/>
    <mergeCell ref="A281:F281"/>
    <mergeCell ref="A282:F282"/>
    <mergeCell ref="A283:F283"/>
    <mergeCell ref="A284:F284"/>
    <mergeCell ref="A285:F285"/>
    <mergeCell ref="A286:F286"/>
    <mergeCell ref="A287:F287"/>
    <mergeCell ref="A288:F288"/>
    <mergeCell ref="A289:F289"/>
    <mergeCell ref="A290:F290"/>
    <mergeCell ref="A291:F291"/>
    <mergeCell ref="A292:F292"/>
    <mergeCell ref="A293:F293"/>
    <mergeCell ref="A294:F294"/>
    <mergeCell ref="A295:F295"/>
    <mergeCell ref="A296:F296"/>
    <mergeCell ref="A297:F297"/>
    <mergeCell ref="A298:F298"/>
    <mergeCell ref="A299:F299"/>
    <mergeCell ref="A300:F300"/>
    <mergeCell ref="A301:F301"/>
    <mergeCell ref="A302:F302"/>
    <mergeCell ref="AJ338:AO338"/>
    <mergeCell ref="AJ339:AO339"/>
    <mergeCell ref="AJ331:AO331"/>
    <mergeCell ref="AJ332:AO332"/>
    <mergeCell ref="AJ333:AO333"/>
    <mergeCell ref="AJ334:AO334"/>
    <mergeCell ref="AJ335:AO335"/>
    <mergeCell ref="AJ336:AO336"/>
    <mergeCell ref="AJ337:AO337"/>
    <mergeCell ref="AW168:BB168"/>
    <mergeCell ref="AW169:BB169"/>
    <mergeCell ref="AM163:AN163"/>
    <mergeCell ref="AK165:AO165"/>
    <mergeCell ref="AW165:BB165"/>
    <mergeCell ref="AK167:AO167"/>
    <mergeCell ref="AW167:BB167"/>
    <mergeCell ref="AK168:AO168"/>
    <mergeCell ref="AK169:AO169"/>
    <mergeCell ref="AQ153:AR153"/>
    <mergeCell ref="AS153:AT153"/>
    <mergeCell ref="AU153:AV153"/>
    <mergeCell ref="AW153:AX153"/>
    <mergeCell ref="AY153:AZ153"/>
    <mergeCell ref="BA153:BB153"/>
    <mergeCell ref="AG152:AK152"/>
    <mergeCell ref="AL152:AP152"/>
    <mergeCell ref="S153:X153"/>
    <mergeCell ref="Y153:AB153"/>
    <mergeCell ref="AC153:AL153"/>
    <mergeCell ref="AM153:AN153"/>
    <mergeCell ref="AO153:AP153"/>
    <mergeCell ref="AY154:AZ154"/>
    <mergeCell ref="BA154:BB154"/>
    <mergeCell ref="AC154:AL154"/>
    <mergeCell ref="AM154:AN154"/>
    <mergeCell ref="AO154:AP154"/>
    <mergeCell ref="AQ154:AR154"/>
    <mergeCell ref="AS154:AT154"/>
    <mergeCell ref="AU154:AV154"/>
    <mergeCell ref="AW154:AX154"/>
    <mergeCell ref="AY155:AZ155"/>
    <mergeCell ref="BA155:BB155"/>
    <mergeCell ref="AC155:AL155"/>
    <mergeCell ref="AM155:AN155"/>
    <mergeCell ref="AO155:AP155"/>
    <mergeCell ref="AQ155:AR155"/>
    <mergeCell ref="AS155:AT155"/>
    <mergeCell ref="AU155:AV155"/>
    <mergeCell ref="AW155:AX155"/>
    <mergeCell ref="AW174:BB174"/>
    <mergeCell ref="AW175:BB175"/>
    <mergeCell ref="AW179:BB179"/>
    <mergeCell ref="AW180:BB180"/>
    <mergeCell ref="AK176:AO176"/>
    <mergeCell ref="AW176:BB176"/>
    <mergeCell ref="AW177:BB177"/>
    <mergeCell ref="AK178:AO178"/>
    <mergeCell ref="AW178:BB178"/>
    <mergeCell ref="AK179:AO179"/>
    <mergeCell ref="AK180:AO180"/>
    <mergeCell ref="AK170:AO170"/>
    <mergeCell ref="AW170:BB170"/>
    <mergeCell ref="AK171:AO171"/>
    <mergeCell ref="AW171:BB171"/>
    <mergeCell ref="AK172:AO172"/>
    <mergeCell ref="AW172:BB172"/>
    <mergeCell ref="AW173:BB173"/>
    <mergeCell ref="A177:F177"/>
    <mergeCell ref="A178:F178"/>
    <mergeCell ref="A179:F179"/>
    <mergeCell ref="A180:F180"/>
    <mergeCell ref="A181:F181"/>
    <mergeCell ref="A182:F182"/>
    <mergeCell ref="A183:F183"/>
    <mergeCell ref="A184:F184"/>
    <mergeCell ref="AK173:AO173"/>
    <mergeCell ref="AK174:AO174"/>
    <mergeCell ref="AK175:AO175"/>
    <mergeCell ref="A176:F176"/>
    <mergeCell ref="P176:T176"/>
    <mergeCell ref="P177:T177"/>
    <mergeCell ref="AK177:AO177"/>
    <mergeCell ref="N180:O180"/>
    <mergeCell ref="N181:O181"/>
    <mergeCell ref="N182:O182"/>
    <mergeCell ref="N183:O183"/>
    <mergeCell ref="N184:O184"/>
    <mergeCell ref="AK181:AO181"/>
    <mergeCell ref="AW181:BB181"/>
    <mergeCell ref="AK182:AO182"/>
    <mergeCell ref="AW182:BB182"/>
    <mergeCell ref="AK183:AO183"/>
    <mergeCell ref="AW183:BB183"/>
    <mergeCell ref="AK184:AO184"/>
    <mergeCell ref="AW184:BB184"/>
    <mergeCell ref="P181:T181"/>
    <mergeCell ref="P182:T182"/>
    <mergeCell ref="P183:T183"/>
    <mergeCell ref="P184:T184"/>
    <mergeCell ref="N176:O176"/>
    <mergeCell ref="N177:O177"/>
    <mergeCell ref="N178:O178"/>
    <mergeCell ref="P178:T178"/>
    <mergeCell ref="N179:O179"/>
    <mergeCell ref="P179:T179"/>
    <mergeCell ref="P180:T180"/>
    <mergeCell ref="Z176:AD176"/>
    <mergeCell ref="Z177:AD177"/>
    <mergeCell ref="Z178:AD178"/>
    <mergeCell ref="Z179:AD179"/>
    <mergeCell ref="Z180:AD180"/>
    <mergeCell ref="Z181:AD181"/>
    <mergeCell ref="Z182:AD182"/>
    <mergeCell ref="Z183:AD183"/>
    <mergeCell ref="Z184:AD184"/>
    <mergeCell ref="N185:O185"/>
    <mergeCell ref="P185:T185"/>
    <mergeCell ref="Z185:AD185"/>
    <mergeCell ref="AK185:AO185"/>
    <mergeCell ref="AW185:BB185"/>
    <mergeCell ref="N186:O186"/>
    <mergeCell ref="N187:O187"/>
    <mergeCell ref="Z186:AD186"/>
    <mergeCell ref="Z187:AD187"/>
    <mergeCell ref="Z188:AD188"/>
    <mergeCell ref="AW186:BB186"/>
    <mergeCell ref="AW187:BB187"/>
    <mergeCell ref="AW188:BB188"/>
    <mergeCell ref="AW189:BB189"/>
    <mergeCell ref="A185:F185"/>
    <mergeCell ref="A186:F186"/>
    <mergeCell ref="P186:T186"/>
    <mergeCell ref="AK186:AO186"/>
    <mergeCell ref="A187:F187"/>
    <mergeCell ref="P187:T187"/>
    <mergeCell ref="AK187:AO187"/>
    <mergeCell ref="AK188:AO188"/>
    <mergeCell ref="AK189:AO189"/>
    <mergeCell ref="N189:O189"/>
    <mergeCell ref="N190:O190"/>
    <mergeCell ref="N188:O188"/>
    <mergeCell ref="N191:O191"/>
    <mergeCell ref="N192:O192"/>
    <mergeCell ref="N193:O193"/>
    <mergeCell ref="N194:O194"/>
    <mergeCell ref="N195:O195"/>
    <mergeCell ref="N196:O196"/>
    <mergeCell ref="A191:F191"/>
    <mergeCell ref="A192:F192"/>
    <mergeCell ref="A193:F193"/>
    <mergeCell ref="A194:F194"/>
    <mergeCell ref="A195:F195"/>
    <mergeCell ref="A196:F196"/>
    <mergeCell ref="AK191:AO191"/>
    <mergeCell ref="AK192:AO192"/>
    <mergeCell ref="AK193:AO193"/>
    <mergeCell ref="AK194:AO194"/>
    <mergeCell ref="AK195:AO195"/>
    <mergeCell ref="AK196:AO196"/>
    <mergeCell ref="A188:F188"/>
    <mergeCell ref="P188:T188"/>
    <mergeCell ref="A189:F189"/>
    <mergeCell ref="P189:T189"/>
    <mergeCell ref="A190:F190"/>
    <mergeCell ref="P190:T190"/>
    <mergeCell ref="P191:T191"/>
    <mergeCell ref="AW192:BB192"/>
    <mergeCell ref="AW193:BB193"/>
    <mergeCell ref="AW194:BB194"/>
    <mergeCell ref="AW195:BB195"/>
    <mergeCell ref="AW196:BB196"/>
    <mergeCell ref="Z189:AD189"/>
    <mergeCell ref="Z190:AD190"/>
    <mergeCell ref="AK190:AO190"/>
    <mergeCell ref="AW190:BB190"/>
    <mergeCell ref="Z191:AD191"/>
    <mergeCell ref="AW191:BB191"/>
    <mergeCell ref="Z192:AD192"/>
    <mergeCell ref="P192:T192"/>
    <mergeCell ref="P193:T193"/>
    <mergeCell ref="Z193:AD193"/>
    <mergeCell ref="P194:T194"/>
    <mergeCell ref="Z194:AD194"/>
    <mergeCell ref="P195:T195"/>
    <mergeCell ref="P196:T196"/>
    <mergeCell ref="Z195:AD195"/>
    <mergeCell ref="Z196:AD196"/>
    <mergeCell ref="N197:O197"/>
    <mergeCell ref="P197:T197"/>
    <mergeCell ref="Z197:AD197"/>
    <mergeCell ref="AK197:AO197"/>
    <mergeCell ref="AW197:BB197"/>
    <mergeCell ref="N198:O198"/>
    <mergeCell ref="N199:O199"/>
    <mergeCell ref="Z198:AD198"/>
    <mergeCell ref="Z199:AD199"/>
    <mergeCell ref="Z200:AD200"/>
    <mergeCell ref="AW198:BB198"/>
    <mergeCell ref="AW199:BB199"/>
    <mergeCell ref="AW200:BB200"/>
    <mergeCell ref="AW201:BB201"/>
    <mergeCell ref="A197:F197"/>
    <mergeCell ref="A198:F198"/>
    <mergeCell ref="P198:T198"/>
    <mergeCell ref="AK198:AO198"/>
    <mergeCell ref="A199:F199"/>
    <mergeCell ref="P199:T199"/>
    <mergeCell ref="AK199:AO199"/>
    <mergeCell ref="AK200:AO200"/>
    <mergeCell ref="AK201:AO201"/>
    <mergeCell ref="N201:O201"/>
    <mergeCell ref="N202:O202"/>
    <mergeCell ref="N200:O200"/>
    <mergeCell ref="N203:O203"/>
    <mergeCell ref="N204:O204"/>
    <mergeCell ref="N205:O205"/>
    <mergeCell ref="N206:O206"/>
    <mergeCell ref="N207:O207"/>
    <mergeCell ref="N208:O208"/>
    <mergeCell ref="A203:F203"/>
    <mergeCell ref="A204:F204"/>
    <mergeCell ref="A205:F205"/>
    <mergeCell ref="A206:F206"/>
    <mergeCell ref="A207:F207"/>
    <mergeCell ref="A208:F208"/>
    <mergeCell ref="AK203:AO203"/>
    <mergeCell ref="AK204:AO204"/>
    <mergeCell ref="AK205:AO205"/>
    <mergeCell ref="AK206:AO206"/>
    <mergeCell ref="AK207:AO207"/>
    <mergeCell ref="AK208:AO208"/>
    <mergeCell ref="A200:F200"/>
    <mergeCell ref="P200:T200"/>
    <mergeCell ref="A201:F201"/>
    <mergeCell ref="P201:T201"/>
    <mergeCell ref="A202:F202"/>
    <mergeCell ref="P202:T202"/>
    <mergeCell ref="P203:T203"/>
    <mergeCell ref="AW204:BB204"/>
    <mergeCell ref="AW205:BB205"/>
    <mergeCell ref="AW206:BB206"/>
    <mergeCell ref="AW207:BB207"/>
    <mergeCell ref="AW208:BB208"/>
    <mergeCell ref="Z201:AD201"/>
    <mergeCell ref="Z202:AD202"/>
    <mergeCell ref="AK202:AO202"/>
    <mergeCell ref="AW202:BB202"/>
    <mergeCell ref="Z203:AD203"/>
    <mergeCell ref="AW203:BB203"/>
    <mergeCell ref="Z204:AD204"/>
    <mergeCell ref="AY160:AZ160"/>
    <mergeCell ref="BA160:BB160"/>
    <mergeCell ref="AC160:AL160"/>
    <mergeCell ref="AM160:AN160"/>
    <mergeCell ref="AO160:AP160"/>
    <mergeCell ref="AQ160:AR160"/>
    <mergeCell ref="AS160:AT160"/>
    <mergeCell ref="AU160:AV160"/>
    <mergeCell ref="AW160:AX160"/>
    <mergeCell ref="A160:F160"/>
    <mergeCell ref="G160:H160"/>
    <mergeCell ref="I160:J160"/>
    <mergeCell ref="K160:N160"/>
    <mergeCell ref="O160:R160"/>
    <mergeCell ref="S160:X160"/>
    <mergeCell ref="Y160:AB160"/>
    <mergeCell ref="A161:F161"/>
    <mergeCell ref="G161:H161"/>
    <mergeCell ref="I161:J161"/>
    <mergeCell ref="K161:N161"/>
    <mergeCell ref="O161:R161"/>
    <mergeCell ref="S161:X161"/>
    <mergeCell ref="Y161:AB161"/>
    <mergeCell ref="AY161:AZ161"/>
    <mergeCell ref="BA161:BB161"/>
    <mergeCell ref="AC161:AL161"/>
    <mergeCell ref="AM161:AN161"/>
    <mergeCell ref="AO161:AP161"/>
    <mergeCell ref="AQ161:AR161"/>
    <mergeCell ref="AS161:AT161"/>
    <mergeCell ref="AU161:AV161"/>
    <mergeCell ref="AW161:AX161"/>
    <mergeCell ref="AY162:AZ162"/>
    <mergeCell ref="BA162:BB162"/>
    <mergeCell ref="AC162:AL162"/>
    <mergeCell ref="AM162:AN162"/>
    <mergeCell ref="AO162:AP162"/>
    <mergeCell ref="AQ162:AR162"/>
    <mergeCell ref="AS162:AT162"/>
    <mergeCell ref="AU162:AV162"/>
    <mergeCell ref="AW162:AX162"/>
    <mergeCell ref="A162:F162"/>
    <mergeCell ref="G162:H162"/>
    <mergeCell ref="I162:J162"/>
    <mergeCell ref="K162:N162"/>
    <mergeCell ref="O162:R162"/>
    <mergeCell ref="S162:X162"/>
    <mergeCell ref="Y162:AB162"/>
    <mergeCell ref="A163:F163"/>
    <mergeCell ref="G163:H163"/>
    <mergeCell ref="I163:J163"/>
    <mergeCell ref="K163:N163"/>
    <mergeCell ref="O163:R163"/>
    <mergeCell ref="S163:X163"/>
    <mergeCell ref="Y163:AB163"/>
    <mergeCell ref="AY163:AZ163"/>
    <mergeCell ref="BA163:BB163"/>
    <mergeCell ref="AC163:AL163"/>
    <mergeCell ref="AO163:AP163"/>
    <mergeCell ref="AQ163:AR163"/>
    <mergeCell ref="AS163:AT163"/>
    <mergeCell ref="AU163:AV163"/>
    <mergeCell ref="AW163:AX163"/>
    <mergeCell ref="V164:AG164"/>
    <mergeCell ref="Z219:AD219"/>
    <mergeCell ref="Z220:AD220"/>
    <mergeCell ref="P216:T216"/>
    <mergeCell ref="P217:T217"/>
    <mergeCell ref="Z217:AD217"/>
    <mergeCell ref="P218:T218"/>
    <mergeCell ref="Z218:AD218"/>
    <mergeCell ref="P219:T219"/>
    <mergeCell ref="P220:T220"/>
    <mergeCell ref="N213:O213"/>
    <mergeCell ref="N214:O214"/>
    <mergeCell ref="N212:O212"/>
    <mergeCell ref="N215:O215"/>
    <mergeCell ref="N216:O216"/>
    <mergeCell ref="N217:O217"/>
    <mergeCell ref="N218:O218"/>
    <mergeCell ref="N219:O219"/>
    <mergeCell ref="N220:O220"/>
    <mergeCell ref="N232:O232"/>
    <mergeCell ref="N233:O233"/>
    <mergeCell ref="N234:O234"/>
    <mergeCell ref="N225:O225"/>
    <mergeCell ref="N226:O226"/>
    <mergeCell ref="N227:O227"/>
    <mergeCell ref="N228:O228"/>
    <mergeCell ref="N229:O229"/>
    <mergeCell ref="N230:O230"/>
    <mergeCell ref="N231:O231"/>
    <mergeCell ref="A215:F215"/>
    <mergeCell ref="A216:F216"/>
    <mergeCell ref="A217:F217"/>
    <mergeCell ref="A218:F218"/>
    <mergeCell ref="A219:F219"/>
    <mergeCell ref="A220:F220"/>
    <mergeCell ref="A221:F221"/>
    <mergeCell ref="A222:F222"/>
    <mergeCell ref="A223:F223"/>
    <mergeCell ref="A224:F224"/>
    <mergeCell ref="A225:F225"/>
    <mergeCell ref="A226:F226"/>
    <mergeCell ref="A227:F227"/>
    <mergeCell ref="A228:F228"/>
    <mergeCell ref="A229:F229"/>
    <mergeCell ref="A230:F230"/>
    <mergeCell ref="A231:F231"/>
    <mergeCell ref="A232:F232"/>
    <mergeCell ref="A233:F233"/>
    <mergeCell ref="A234:F234"/>
    <mergeCell ref="A236:F236"/>
    <mergeCell ref="A237:F237"/>
    <mergeCell ref="A238:F238"/>
    <mergeCell ref="A239:F239"/>
    <mergeCell ref="A240:F240"/>
    <mergeCell ref="A241:F241"/>
    <mergeCell ref="A242:F242"/>
    <mergeCell ref="A243:F243"/>
    <mergeCell ref="A244:F244"/>
    <mergeCell ref="A245:F245"/>
    <mergeCell ref="A246:F246"/>
    <mergeCell ref="A247:F247"/>
    <mergeCell ref="A248:F248"/>
    <mergeCell ref="A249:F249"/>
    <mergeCell ref="A250:T250"/>
    <mergeCell ref="A251:F251"/>
    <mergeCell ref="G251:O251"/>
    <mergeCell ref="A252:F252"/>
    <mergeCell ref="G252:O252"/>
    <mergeCell ref="A253:F253"/>
    <mergeCell ref="G253:O253"/>
    <mergeCell ref="G254:O254"/>
    <mergeCell ref="G255:O255"/>
    <mergeCell ref="G256:O256"/>
    <mergeCell ref="G257:O257"/>
    <mergeCell ref="G258:O258"/>
    <mergeCell ref="G259:O259"/>
    <mergeCell ref="G260:O260"/>
    <mergeCell ref="G261:O261"/>
    <mergeCell ref="AJ315:AO315"/>
    <mergeCell ref="AJ316:AO316"/>
    <mergeCell ref="AJ308:AO308"/>
    <mergeCell ref="AJ309:AO309"/>
    <mergeCell ref="AJ310:AO310"/>
    <mergeCell ref="AJ311:AO311"/>
    <mergeCell ref="AJ312:AO312"/>
    <mergeCell ref="AJ313:AO313"/>
    <mergeCell ref="AJ314:AO314"/>
    <mergeCell ref="AJ259:AO259"/>
    <mergeCell ref="AJ260:AO260"/>
    <mergeCell ref="AJ261:AO261"/>
    <mergeCell ref="AJ262:AO262"/>
    <mergeCell ref="AJ263:AO263"/>
    <mergeCell ref="AJ264:AO264"/>
    <mergeCell ref="AJ265:AO265"/>
    <mergeCell ref="AJ266:AO266"/>
    <mergeCell ref="AJ267:AO267"/>
    <mergeCell ref="AJ268:AO268"/>
    <mergeCell ref="AJ269:AO269"/>
    <mergeCell ref="AJ270:AO270"/>
    <mergeCell ref="AJ271:AO271"/>
    <mergeCell ref="AJ272:AO272"/>
    <mergeCell ref="AJ273:AO273"/>
    <mergeCell ref="AJ274:AO274"/>
    <mergeCell ref="AJ275:AO275"/>
    <mergeCell ref="AJ276:AO276"/>
    <mergeCell ref="AJ277:AO277"/>
    <mergeCell ref="AJ278:AO278"/>
    <mergeCell ref="AJ279:AO279"/>
    <mergeCell ref="AJ280:AO280"/>
    <mergeCell ref="AJ281:AO281"/>
    <mergeCell ref="AJ282:AO282"/>
    <mergeCell ref="AJ283:AO283"/>
    <mergeCell ref="AJ284:AO284"/>
    <mergeCell ref="AJ285:AO285"/>
    <mergeCell ref="AJ286:AO286"/>
    <mergeCell ref="AJ287:AO287"/>
    <mergeCell ref="AJ288:AO288"/>
    <mergeCell ref="AJ289:AO289"/>
    <mergeCell ref="AJ290:AO290"/>
    <mergeCell ref="AJ291:AO291"/>
    <mergeCell ref="AJ292:AO292"/>
    <mergeCell ref="AJ293:AO293"/>
    <mergeCell ref="AJ294:AO294"/>
    <mergeCell ref="AJ295:AO295"/>
    <mergeCell ref="AJ296:AO296"/>
    <mergeCell ref="AJ297:AO297"/>
    <mergeCell ref="AJ298:AO298"/>
    <mergeCell ref="AJ299:AO299"/>
    <mergeCell ref="AJ300:AO300"/>
    <mergeCell ref="AJ301:AO301"/>
    <mergeCell ref="AJ302:AO302"/>
    <mergeCell ref="AJ303:AO303"/>
    <mergeCell ref="AJ304:AO304"/>
    <mergeCell ref="AJ305:AO305"/>
    <mergeCell ref="AJ306:AO306"/>
    <mergeCell ref="AJ307:AO307"/>
  </mergeCells>
  <dataValidations>
    <dataValidation type="list" allowBlank="1" showErrorMessage="1" sqref="M2:M42 Q2:Q42">
      <formula1>"FOR,DES,CON,INT,SAB,CAR,Nenhum"</formula1>
    </dataValidation>
    <dataValidation type="list" allowBlank="1" showErrorMessage="1" sqref="G2:G42">
      <formula1>"Armadura Leve,Armadura Média,Armadura Pesada,Mod Habilidade,Dois Mods Habilidade,Personalizado"</formula1>
    </dataValidation>
    <dataValidation type="list" allowBlank="1" sqref="K46:K125">
      <formula1>"FOR,DES,CON,INT,SAB,CAR,NENHUM"</formula1>
    </dataValidation>
  </dataValidations>
  <hyperlinks>
    <hyperlink r:id="rId2" ref="AW167"/>
    <hyperlink r:id="rId3" ref="AW168"/>
    <hyperlink r:id="rId4" ref="AW169"/>
    <hyperlink r:id="rId5" ref="AW170"/>
    <hyperlink r:id="rId6" ref="AW171"/>
    <hyperlink r:id="rId7" ref="AW172"/>
    <hyperlink r:id="rId8" ref="AW173"/>
    <hyperlink r:id="rId9" ref="AW174"/>
    <hyperlink r:id="rId10" ref="AW175"/>
    <hyperlink r:id="rId11" ref="AW177"/>
    <hyperlink r:id="rId12" ref="AW178"/>
    <hyperlink r:id="rId13" ref="AW179"/>
    <hyperlink r:id="rId14" ref="AW180"/>
    <hyperlink r:id="rId15" ref="AW181"/>
    <hyperlink r:id="rId16" ref="AW182"/>
    <hyperlink r:id="rId17" ref="AW183"/>
    <hyperlink r:id="rId18" ref="AW184"/>
    <hyperlink r:id="rId19" ref="AW185"/>
    <hyperlink r:id="rId20" ref="AW186"/>
    <hyperlink r:id="rId21" ref="AW187"/>
    <hyperlink r:id="rId22" ref="AW188"/>
    <hyperlink r:id="rId23" ref="AW189"/>
    <hyperlink r:id="rId24" ref="AW190"/>
    <hyperlink r:id="rId25" ref="AW191"/>
    <hyperlink r:id="rId26" ref="AW192"/>
    <hyperlink r:id="rId27" ref="AW193"/>
    <hyperlink r:id="rId28" ref="AW194"/>
    <hyperlink r:id="rId29" ref="AW195"/>
    <hyperlink r:id="rId30" ref="AW196"/>
    <hyperlink r:id="rId31" ref="AW197"/>
    <hyperlink r:id="rId32" ref="AW198"/>
    <hyperlink r:id="rId33" ref="AW199"/>
    <hyperlink r:id="rId34" ref="AW200"/>
    <hyperlink r:id="rId35" ref="AW201"/>
    <hyperlink r:id="rId36" ref="AW202"/>
    <hyperlink r:id="rId37" ref="AW203"/>
    <hyperlink r:id="rId38" ref="AW204"/>
    <hyperlink r:id="rId39" ref="AW205"/>
    <hyperlink r:id="rId40" ref="AW206"/>
    <hyperlink r:id="rId41" ref="AW207"/>
    <hyperlink r:id="rId42" ref="AW208"/>
    <hyperlink r:id="rId43" ref="AW209"/>
    <hyperlink r:id="rId44" ref="AW210"/>
    <hyperlink r:id="rId45" ref="AW211"/>
    <hyperlink r:id="rId46" ref="AW212"/>
    <hyperlink r:id="rId47" ref="AW213"/>
    <hyperlink r:id="rId48" ref="AW214"/>
    <hyperlink r:id="rId49" ref="AW215"/>
  </hyperlinks>
  <drawing r:id="rId50"/>
  <legacyDrawing r:id="rId5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8043"/>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75"/>
    <col customWidth="1" min="2" max="2" width="6.5"/>
  </cols>
  <sheetData>
    <row r="1">
      <c r="A1" s="135" t="s">
        <v>1098</v>
      </c>
      <c r="E1" s="137" t="s">
        <v>1099</v>
      </c>
      <c r="X1" s="771"/>
      <c r="Y1" s="772" t="str">
        <f>IFERROR(__xludf.DUMMYFUNCTION("filter(Z:Z,countif(AA:AA,Z:Z)&lt;1)"),"")</f>
        <v/>
      </c>
      <c r="Z1" s="772" t="str">
        <f>if(I2,getAllSheetNames(),"")</f>
        <v/>
      </c>
      <c r="AA1" s="772" t="s">
        <v>1100</v>
      </c>
    </row>
    <row r="2">
      <c r="A2" s="137" t="s">
        <v>1101</v>
      </c>
      <c r="B2" s="137" t="s">
        <v>26</v>
      </c>
      <c r="C2" s="137" t="s">
        <v>1102</v>
      </c>
      <c r="D2" s="137" t="s">
        <v>1103</v>
      </c>
      <c r="F2" s="137" t="s">
        <v>1104</v>
      </c>
      <c r="G2" s="137" t="s">
        <v>1104</v>
      </c>
      <c r="K2" s="773"/>
      <c r="L2" s="773"/>
      <c r="M2" s="773"/>
      <c r="N2" s="773"/>
      <c r="X2" s="771"/>
      <c r="Y2" s="772"/>
      <c r="AA2" s="772" t="s">
        <v>1105</v>
      </c>
    </row>
    <row r="3">
      <c r="A3" s="774" t="s">
        <v>1106</v>
      </c>
      <c r="B3" s="775">
        <f t="shared" ref="B3:B13" si="1">sum(C3:G3)</f>
        <v>10</v>
      </c>
      <c r="C3" s="776"/>
      <c r="D3" s="777">
        <v>10.0</v>
      </c>
      <c r="E3" s="778"/>
      <c r="F3" s="778"/>
      <c r="G3" s="778"/>
      <c r="H3" s="779"/>
      <c r="I3" s="779"/>
      <c r="J3" s="779"/>
      <c r="K3" s="780"/>
      <c r="L3" s="781"/>
      <c r="M3" s="781"/>
      <c r="N3" s="781"/>
      <c r="O3" s="782"/>
      <c r="X3" s="771"/>
      <c r="Y3" s="772"/>
      <c r="AA3" s="772" t="s">
        <v>1107</v>
      </c>
    </row>
    <row r="4">
      <c r="A4" s="774" t="s">
        <v>1108</v>
      </c>
      <c r="B4" s="775">
        <f t="shared" si="1"/>
        <v>10</v>
      </c>
      <c r="C4" s="783"/>
      <c r="D4" s="777">
        <v>10.0</v>
      </c>
      <c r="E4" s="778"/>
      <c r="F4" s="778"/>
      <c r="G4" s="778"/>
      <c r="H4" s="779"/>
      <c r="I4" s="779"/>
      <c r="J4" s="779"/>
      <c r="K4" s="784"/>
      <c r="L4" s="785"/>
      <c r="M4" s="785"/>
      <c r="N4" s="785"/>
      <c r="O4" s="786"/>
      <c r="X4" s="771"/>
      <c r="Y4" s="772"/>
      <c r="AA4" s="772" t="s">
        <v>1109</v>
      </c>
    </row>
    <row r="5">
      <c r="A5" s="774" t="s">
        <v>1110</v>
      </c>
      <c r="B5" s="775">
        <f t="shared" si="1"/>
        <v>0</v>
      </c>
      <c r="C5" s="783"/>
      <c r="D5" s="778"/>
      <c r="E5" s="778"/>
      <c r="F5" s="778"/>
      <c r="G5" s="778"/>
      <c r="K5" s="784">
        <v>2.0</v>
      </c>
      <c r="L5" s="785"/>
      <c r="M5" s="785"/>
      <c r="N5" s="785"/>
      <c r="O5" s="786"/>
      <c r="X5" s="771"/>
      <c r="Y5" s="772"/>
      <c r="AA5" s="772" t="s">
        <v>1111</v>
      </c>
    </row>
    <row r="6">
      <c r="A6" s="774" t="s">
        <v>1112</v>
      </c>
      <c r="B6" s="775">
        <f t="shared" si="1"/>
        <v>0</v>
      </c>
      <c r="C6" s="783"/>
      <c r="D6" s="778"/>
      <c r="E6" s="778"/>
      <c r="F6" s="778"/>
      <c r="G6" s="778"/>
      <c r="K6" s="784"/>
      <c r="L6" s="785"/>
      <c r="M6" s="785"/>
      <c r="N6" s="785"/>
      <c r="O6" s="786"/>
      <c r="X6" s="771"/>
      <c r="Y6" s="772"/>
      <c r="AA6" s="772" t="s">
        <v>1113</v>
      </c>
    </row>
    <row r="7">
      <c r="A7" s="787" t="s">
        <v>39</v>
      </c>
      <c r="B7" s="788">
        <f t="shared" si="1"/>
        <v>0</v>
      </c>
      <c r="C7" s="789"/>
      <c r="D7" s="778">
        <f>-Ficha!AV41*Ficha!AW41-Ficha!AV34*Ficha!AW34</f>
        <v>0</v>
      </c>
      <c r="E7" s="778"/>
      <c r="F7" s="778"/>
      <c r="G7" s="778"/>
      <c r="K7" s="784"/>
      <c r="L7" s="785"/>
      <c r="M7" s="785"/>
      <c r="N7" s="785"/>
      <c r="O7" s="786"/>
      <c r="X7" s="771"/>
      <c r="Y7" s="772"/>
      <c r="AA7" s="772" t="s">
        <v>1114</v>
      </c>
    </row>
    <row r="8">
      <c r="A8" s="787" t="s">
        <v>1115</v>
      </c>
      <c r="B8" s="788">
        <f t="shared" si="1"/>
        <v>0</v>
      </c>
      <c r="C8" s="789"/>
      <c r="D8" s="778">
        <f>-Ficha!AV41*Ficha!AW41-Ficha!AV31*Ficha!AW31</f>
        <v>0</v>
      </c>
      <c r="E8" s="778"/>
      <c r="F8" s="778"/>
      <c r="G8" s="778"/>
      <c r="K8" s="784"/>
      <c r="L8" s="785"/>
      <c r="M8" s="785"/>
      <c r="N8" s="785"/>
      <c r="O8" s="786"/>
      <c r="X8" s="771"/>
      <c r="Y8" s="772"/>
      <c r="AA8" s="772" t="s">
        <v>1116</v>
      </c>
    </row>
    <row r="9">
      <c r="A9" s="787" t="s">
        <v>1117</v>
      </c>
      <c r="B9" s="788">
        <f t="shared" si="1"/>
        <v>0</v>
      </c>
      <c r="C9" s="789"/>
      <c r="D9" s="778">
        <f>-ROUNDDOWN(Ficha!AV41*Ficha!AW41/2,0.5)*1.5-(Ficha!AV31*Ficha!AW31*1.5)+IF(Ficha!AN37=true,K5=1,0)-(Ficha!AN45*Ficha!AO45*3)</f>
        <v>0</v>
      </c>
      <c r="E9" s="778"/>
      <c r="F9" s="778"/>
      <c r="G9" s="778"/>
      <c r="K9" s="784"/>
      <c r="L9" s="785"/>
      <c r="M9" s="785"/>
      <c r="N9" s="785"/>
      <c r="O9" s="786"/>
      <c r="X9" s="771"/>
      <c r="Y9" s="772"/>
      <c r="AA9" s="772" t="s">
        <v>1118</v>
      </c>
    </row>
    <row r="10">
      <c r="A10" s="787" t="s">
        <v>5</v>
      </c>
      <c r="B10" s="788">
        <f t="shared" si="1"/>
        <v>0</v>
      </c>
      <c r="C10" s="789"/>
      <c r="D10" s="778"/>
      <c r="E10" s="778"/>
      <c r="F10" s="778"/>
      <c r="G10" s="778"/>
      <c r="K10" s="784"/>
      <c r="L10" s="785"/>
      <c r="M10" s="785"/>
      <c r="N10" s="785"/>
      <c r="O10" s="786"/>
      <c r="X10" s="771"/>
      <c r="Y10" s="772"/>
      <c r="AA10" s="772" t="s">
        <v>1119</v>
      </c>
    </row>
    <row r="11">
      <c r="A11" s="790" t="s">
        <v>34</v>
      </c>
      <c r="B11" s="791">
        <f t="shared" si="1"/>
        <v>0</v>
      </c>
      <c r="C11" s="792"/>
      <c r="D11" s="778"/>
      <c r="E11" s="778"/>
      <c r="F11" s="778"/>
      <c r="G11" s="778"/>
      <c r="K11" s="784"/>
      <c r="L11" s="785"/>
      <c r="M11" s="785"/>
      <c r="N11" s="785"/>
      <c r="O11" s="786"/>
      <c r="X11" s="771"/>
      <c r="Y11" s="772"/>
      <c r="AA11" s="772" t="s">
        <v>1120</v>
      </c>
    </row>
    <row r="12">
      <c r="A12" s="793" t="s">
        <v>1121</v>
      </c>
      <c r="B12" s="791">
        <f t="shared" si="1"/>
        <v>0</v>
      </c>
      <c r="C12" s="792"/>
      <c r="D12" s="778"/>
      <c r="E12" s="778"/>
      <c r="F12" s="778"/>
      <c r="G12" s="778"/>
      <c r="K12" s="784"/>
      <c r="L12" s="785"/>
      <c r="M12" s="785"/>
      <c r="N12" s="785"/>
      <c r="O12" s="786"/>
      <c r="X12" s="771"/>
      <c r="Y12" s="772"/>
      <c r="AA12" s="772" t="s">
        <v>1122</v>
      </c>
    </row>
    <row r="13">
      <c r="A13" s="794" t="s">
        <v>52</v>
      </c>
      <c r="B13" s="791">
        <f t="shared" si="1"/>
        <v>0</v>
      </c>
      <c r="C13" s="792"/>
      <c r="D13" s="778"/>
      <c r="E13" s="778"/>
      <c r="F13" s="778"/>
      <c r="G13" s="778"/>
      <c r="K13" s="784"/>
      <c r="L13" s="785"/>
      <c r="M13" s="785"/>
      <c r="N13" s="785"/>
      <c r="O13" s="786"/>
      <c r="X13" s="771"/>
      <c r="Y13" s="772"/>
      <c r="AA13" s="772" t="s">
        <v>1123</v>
      </c>
    </row>
    <row r="14">
      <c r="A14" s="793" t="s">
        <v>1124</v>
      </c>
      <c r="B14" s="795">
        <f>max(C14:G14)</f>
        <v>0</v>
      </c>
      <c r="C14" s="792"/>
      <c r="D14" s="778"/>
      <c r="E14" s="778"/>
      <c r="F14" s="778"/>
      <c r="G14" s="778"/>
      <c r="K14" s="784"/>
      <c r="L14" s="785"/>
      <c r="M14" s="785"/>
      <c r="N14" s="785"/>
      <c r="O14" s="786"/>
      <c r="X14" s="771"/>
      <c r="Y14" s="772"/>
      <c r="AA14" s="772" t="s">
        <v>1125</v>
      </c>
    </row>
    <row r="15">
      <c r="A15" s="794" t="s">
        <v>65</v>
      </c>
      <c r="B15" s="791">
        <f>sum(C15:G15)</f>
        <v>0</v>
      </c>
      <c r="C15" s="792"/>
      <c r="D15" s="778"/>
      <c r="E15" s="778"/>
      <c r="F15" s="778"/>
      <c r="G15" s="778"/>
      <c r="K15" s="784"/>
      <c r="L15" s="785"/>
      <c r="M15" s="785"/>
      <c r="N15" s="785"/>
      <c r="O15" s="786"/>
      <c r="X15" s="771"/>
      <c r="Y15" s="772"/>
      <c r="AA15" s="772" t="s">
        <v>1126</v>
      </c>
    </row>
    <row r="16">
      <c r="A16" s="793" t="s">
        <v>1127</v>
      </c>
      <c r="B16" s="795">
        <f>max(C16:G16)</f>
        <v>0</v>
      </c>
      <c r="C16" s="792"/>
      <c r="D16" s="778"/>
      <c r="E16" s="778"/>
      <c r="F16" s="778"/>
      <c r="G16" s="778"/>
      <c r="K16" s="784"/>
      <c r="L16" s="785"/>
      <c r="M16" s="785"/>
      <c r="N16" s="785"/>
      <c r="O16" s="786"/>
      <c r="X16" s="771"/>
      <c r="Y16" s="772"/>
      <c r="AA16" s="772" t="s">
        <v>1128</v>
      </c>
    </row>
    <row r="17">
      <c r="A17" s="794" t="s">
        <v>80</v>
      </c>
      <c r="B17" s="791">
        <f>sum(C17:G17)</f>
        <v>0</v>
      </c>
      <c r="C17" s="792"/>
      <c r="D17" s="778"/>
      <c r="E17" s="778"/>
      <c r="F17" s="778"/>
      <c r="G17" s="778"/>
      <c r="K17" s="784"/>
      <c r="L17" s="785"/>
      <c r="M17" s="785"/>
      <c r="N17" s="785"/>
      <c r="O17" s="786"/>
      <c r="X17" s="771"/>
      <c r="Y17" s="772"/>
      <c r="AA17" s="772" t="s">
        <v>1129</v>
      </c>
    </row>
    <row r="18">
      <c r="A18" s="793" t="s">
        <v>1130</v>
      </c>
      <c r="B18" s="795">
        <f>max(C18:G18)</f>
        <v>0</v>
      </c>
      <c r="C18" s="792"/>
      <c r="D18" s="778"/>
      <c r="E18" s="778"/>
      <c r="F18" s="778"/>
      <c r="G18" s="778"/>
      <c r="K18" s="784"/>
      <c r="L18" s="785"/>
      <c r="M18" s="785"/>
      <c r="N18" s="785"/>
      <c r="O18" s="786"/>
      <c r="X18" s="771"/>
      <c r="Y18" s="772"/>
      <c r="AA18" s="772" t="s">
        <v>1131</v>
      </c>
    </row>
    <row r="19">
      <c r="A19" s="794" t="s">
        <v>100</v>
      </c>
      <c r="B19" s="791">
        <f>sum(C19:G19)</f>
        <v>0</v>
      </c>
      <c r="C19" s="792"/>
      <c r="D19" s="778"/>
      <c r="E19" s="778"/>
      <c r="F19" s="778"/>
      <c r="G19" s="778"/>
      <c r="K19" s="784"/>
      <c r="L19" s="785"/>
      <c r="M19" s="785"/>
      <c r="N19" s="785"/>
      <c r="O19" s="786"/>
      <c r="X19" s="771"/>
      <c r="Y19" s="772"/>
      <c r="AA19" s="772" t="s">
        <v>1132</v>
      </c>
    </row>
    <row r="20">
      <c r="A20" s="793" t="s">
        <v>1133</v>
      </c>
      <c r="B20" s="795">
        <f>max(C20:G20)</f>
        <v>0</v>
      </c>
      <c r="C20" s="792"/>
      <c r="D20" s="778"/>
      <c r="E20" s="778"/>
      <c r="F20" s="778"/>
      <c r="G20" s="778"/>
      <c r="K20" s="784"/>
      <c r="L20" s="785"/>
      <c r="M20" s="785"/>
      <c r="N20" s="785"/>
      <c r="O20" s="786"/>
      <c r="X20" s="771"/>
      <c r="Y20" s="772"/>
      <c r="AA20" s="772" t="s">
        <v>1134</v>
      </c>
    </row>
    <row r="21">
      <c r="A21" s="794" t="s">
        <v>119</v>
      </c>
      <c r="B21" s="791">
        <f>sum(C21:G21)</f>
        <v>0</v>
      </c>
      <c r="C21" s="792"/>
      <c r="D21" s="778"/>
      <c r="E21" s="778"/>
      <c r="F21" s="778"/>
      <c r="G21" s="778"/>
      <c r="K21" s="784"/>
      <c r="L21" s="785"/>
      <c r="M21" s="785"/>
      <c r="N21" s="785"/>
      <c r="O21" s="786"/>
      <c r="X21" s="771"/>
      <c r="Y21" s="772"/>
      <c r="AA21" s="772" t="s">
        <v>1135</v>
      </c>
    </row>
    <row r="22">
      <c r="A22" s="793" t="s">
        <v>1136</v>
      </c>
      <c r="B22" s="795">
        <f t="shared" ref="B22:B50" si="2">max(C22:G22)</f>
        <v>0</v>
      </c>
      <c r="C22" s="792"/>
      <c r="D22" s="778"/>
      <c r="E22" s="778"/>
      <c r="F22" s="778"/>
      <c r="G22" s="778"/>
      <c r="K22" s="784"/>
      <c r="L22" s="785"/>
      <c r="M22" s="785"/>
      <c r="N22" s="785"/>
      <c r="O22" s="786"/>
      <c r="X22" s="771"/>
      <c r="Y22" s="772"/>
      <c r="AA22" s="772" t="s">
        <v>1137</v>
      </c>
    </row>
    <row r="23">
      <c r="A23" s="796" t="s">
        <v>1138</v>
      </c>
      <c r="B23" s="797">
        <f t="shared" si="2"/>
        <v>0</v>
      </c>
      <c r="C23" s="798"/>
      <c r="D23" s="778">
        <f>-Ficha!AN39*Ficha!AO39</f>
        <v>0</v>
      </c>
      <c r="E23" s="778"/>
      <c r="F23" s="778"/>
      <c r="G23" s="778"/>
      <c r="K23" s="784"/>
      <c r="L23" s="785"/>
      <c r="M23" s="785"/>
      <c r="N23" s="785"/>
      <c r="O23" s="786"/>
      <c r="X23" s="771"/>
      <c r="Y23" s="772"/>
      <c r="AA23" s="772" t="s">
        <v>1139</v>
      </c>
    </row>
    <row r="24">
      <c r="A24" s="796" t="s">
        <v>1140</v>
      </c>
      <c r="B24" s="797">
        <f t="shared" si="2"/>
        <v>0</v>
      </c>
      <c r="C24" s="798"/>
      <c r="D24" s="778">
        <f>-Ficha!AV31*Ficha!AW31</f>
        <v>0</v>
      </c>
      <c r="E24" s="778"/>
      <c r="F24" s="778"/>
      <c r="G24" s="778"/>
      <c r="K24" s="784"/>
      <c r="L24" s="785"/>
      <c r="M24" s="785"/>
      <c r="N24" s="785"/>
      <c r="O24" s="786"/>
      <c r="X24" s="771"/>
      <c r="Y24" s="772"/>
      <c r="AA24" s="772" t="s">
        <v>1141</v>
      </c>
    </row>
    <row r="25">
      <c r="A25" s="796" t="s">
        <v>1142</v>
      </c>
      <c r="B25" s="797">
        <f t="shared" si="2"/>
        <v>0</v>
      </c>
      <c r="C25" s="798"/>
      <c r="D25" s="778">
        <f>-Ficha!AV32*Ficha!AW32</f>
        <v>0</v>
      </c>
      <c r="E25" s="778"/>
      <c r="F25" s="778"/>
      <c r="G25" s="778"/>
      <c r="K25" s="799"/>
      <c r="L25" s="800"/>
      <c r="M25" s="800"/>
      <c r="N25" s="800"/>
      <c r="O25" s="801"/>
      <c r="X25" s="771"/>
      <c r="Y25" s="772"/>
    </row>
    <row r="26">
      <c r="A26" s="796" t="s">
        <v>1143</v>
      </c>
      <c r="B26" s="797">
        <f t="shared" si="2"/>
        <v>0</v>
      </c>
      <c r="C26" s="798"/>
      <c r="D26" s="778">
        <f>-Ficha!AN42*Ficha!AO42</f>
        <v>0</v>
      </c>
      <c r="E26" s="778"/>
      <c r="F26" s="778"/>
      <c r="G26" s="778"/>
      <c r="X26" s="771"/>
      <c r="Y26" s="772"/>
    </row>
    <row r="27">
      <c r="A27" s="796" t="s">
        <v>1144</v>
      </c>
      <c r="B27" s="797">
        <f t="shared" si="2"/>
        <v>0</v>
      </c>
      <c r="C27" s="798"/>
      <c r="D27" s="778">
        <f>-Ficha!AN43*Ficha!AO43</f>
        <v>0</v>
      </c>
      <c r="E27" s="778"/>
      <c r="F27" s="778"/>
      <c r="G27" s="778"/>
      <c r="X27" s="771"/>
      <c r="Y27" s="772"/>
    </row>
    <row r="28">
      <c r="A28" s="796" t="s">
        <v>1145</v>
      </c>
      <c r="B28" s="797">
        <f t="shared" si="2"/>
        <v>0</v>
      </c>
      <c r="C28" s="798"/>
      <c r="D28" s="778">
        <f>-Ficha!AN40*Ficha!AO40</f>
        <v>0</v>
      </c>
      <c r="E28" s="778"/>
      <c r="F28" s="778"/>
      <c r="G28" s="778"/>
      <c r="X28" s="771"/>
      <c r="Y28" s="772"/>
    </row>
    <row r="29">
      <c r="A29" s="796" t="s">
        <v>1146</v>
      </c>
      <c r="B29" s="797">
        <f t="shared" si="2"/>
        <v>0</v>
      </c>
      <c r="C29" s="798"/>
      <c r="D29" s="778">
        <f>-Ficha!AV41*Ficha!AW41-Ficha!AN44*Ficha!AO44</f>
        <v>0</v>
      </c>
      <c r="E29" s="778"/>
      <c r="F29" s="778"/>
      <c r="G29" s="778"/>
      <c r="X29" s="771"/>
      <c r="Y29" s="772"/>
    </row>
    <row r="30">
      <c r="A30" s="802" t="s">
        <v>54</v>
      </c>
      <c r="B30" s="803">
        <f t="shared" si="2"/>
        <v>0</v>
      </c>
      <c r="C30" s="804"/>
      <c r="D30" s="778">
        <f>-Ficha!AV31*Ficha!AW31-Ficha!AN30*Ficha!AO31</f>
        <v>0</v>
      </c>
      <c r="E30" s="778"/>
      <c r="F30" s="778"/>
      <c r="G30" s="778"/>
      <c r="X30" s="771"/>
      <c r="Y30" s="772"/>
    </row>
    <row r="31">
      <c r="A31" s="805" t="s">
        <v>56</v>
      </c>
      <c r="B31" s="803">
        <f t="shared" si="2"/>
        <v>0</v>
      </c>
      <c r="C31" s="804"/>
      <c r="D31" s="778">
        <f>-Ficha!AN43*Ficha!AO43</f>
        <v>0</v>
      </c>
      <c r="E31" s="778"/>
      <c r="F31" s="778"/>
      <c r="G31" s="778"/>
      <c r="X31" s="771"/>
      <c r="Y31" s="772"/>
    </row>
    <row r="32">
      <c r="A32" s="806" t="s">
        <v>60</v>
      </c>
      <c r="B32" s="803">
        <f t="shared" si="2"/>
        <v>0</v>
      </c>
      <c r="C32" s="804"/>
      <c r="D32" s="778">
        <f>-Ficha!AN30*Ficha!AO30</f>
        <v>0</v>
      </c>
      <c r="E32" s="778"/>
      <c r="F32" s="778"/>
      <c r="G32" s="778"/>
      <c r="X32" s="771"/>
      <c r="Y32" s="772"/>
    </row>
    <row r="33">
      <c r="A33" s="805" t="s">
        <v>66</v>
      </c>
      <c r="B33" s="803">
        <f t="shared" si="2"/>
        <v>0</v>
      </c>
      <c r="C33" s="804"/>
      <c r="D33" s="777">
        <f>-Ficha!AN30*Ficha!AO30</f>
        <v>0</v>
      </c>
      <c r="E33" s="778"/>
      <c r="F33" s="778"/>
      <c r="G33" s="778"/>
      <c r="X33" s="771"/>
      <c r="Y33" s="772"/>
    </row>
    <row r="34">
      <c r="A34" s="805" t="s">
        <v>67</v>
      </c>
      <c r="B34" s="803">
        <f t="shared" si="2"/>
        <v>0</v>
      </c>
      <c r="C34" s="804"/>
      <c r="D34" s="778">
        <f>-Ficha!AN42*Ficha!AO42</f>
        <v>0</v>
      </c>
      <c r="E34" s="778"/>
      <c r="F34" s="778"/>
      <c r="G34" s="778"/>
      <c r="X34" s="771"/>
      <c r="Y34" s="772"/>
    </row>
    <row r="35">
      <c r="A35" s="805" t="s">
        <v>70</v>
      </c>
      <c r="B35" s="803">
        <f t="shared" si="2"/>
        <v>0</v>
      </c>
      <c r="C35" s="804"/>
      <c r="D35" s="778">
        <f>-Ficha!AV32*Ficha!AW32-Ficha!AN30*Ficha!AO30</f>
        <v>0</v>
      </c>
      <c r="E35" s="778"/>
      <c r="F35" s="778"/>
      <c r="G35" s="778"/>
      <c r="X35" s="771"/>
      <c r="Y35" s="772"/>
    </row>
    <row r="36">
      <c r="A36" s="805" t="s">
        <v>1147</v>
      </c>
      <c r="B36" s="803">
        <f t="shared" si="2"/>
        <v>0</v>
      </c>
      <c r="C36" s="804"/>
      <c r="D36" s="778"/>
      <c r="E36" s="778"/>
      <c r="F36" s="778"/>
      <c r="G36" s="778"/>
      <c r="X36" s="771"/>
      <c r="Y36" s="772"/>
    </row>
    <row r="37">
      <c r="A37" s="805" t="s">
        <v>78</v>
      </c>
      <c r="B37" s="803">
        <f t="shared" si="2"/>
        <v>0</v>
      </c>
      <c r="C37" s="804"/>
      <c r="D37" s="778">
        <f>-Ficha!AV31*Ficha!AW31-Ficha!AN30*Ficha!AO31</f>
        <v>0</v>
      </c>
      <c r="E37" s="778"/>
      <c r="F37" s="778"/>
      <c r="G37" s="778"/>
      <c r="X37" s="771"/>
      <c r="Y37" s="772"/>
    </row>
    <row r="38">
      <c r="A38" s="805" t="s">
        <v>81</v>
      </c>
      <c r="B38" s="803">
        <f t="shared" si="2"/>
        <v>0</v>
      </c>
      <c r="C38" s="804"/>
      <c r="D38" s="778">
        <f>-Ficha!AN42*Ficha!AO42</f>
        <v>0</v>
      </c>
      <c r="E38" s="778"/>
      <c r="F38" s="778"/>
      <c r="G38" s="778"/>
      <c r="X38" s="771"/>
      <c r="Y38" s="772"/>
    </row>
    <row r="39">
      <c r="A39" s="805" t="s">
        <v>85</v>
      </c>
      <c r="B39" s="803">
        <f t="shared" si="2"/>
        <v>0</v>
      </c>
      <c r="C39" s="804"/>
      <c r="D39" s="778">
        <f>-Ficha!AN43*Ficha!AO43</f>
        <v>0</v>
      </c>
      <c r="E39" s="778"/>
      <c r="F39" s="778"/>
      <c r="G39" s="778"/>
      <c r="X39" s="771"/>
      <c r="Y39" s="772"/>
    </row>
    <row r="40">
      <c r="A40" s="805" t="s">
        <v>88</v>
      </c>
      <c r="B40" s="803">
        <f t="shared" si="2"/>
        <v>0</v>
      </c>
      <c r="C40" s="804"/>
      <c r="D40" s="778"/>
      <c r="E40" s="778"/>
      <c r="F40" s="778"/>
      <c r="G40" s="778"/>
      <c r="X40" s="771"/>
      <c r="Y40" s="772"/>
    </row>
    <row r="41">
      <c r="A41" s="805" t="s">
        <v>92</v>
      </c>
      <c r="B41" s="803">
        <f t="shared" si="2"/>
        <v>0</v>
      </c>
      <c r="C41" s="804"/>
      <c r="D41" s="778">
        <f>-Ficha!AN43*Ficha!AO43</f>
        <v>0</v>
      </c>
      <c r="E41" s="778"/>
      <c r="F41" s="778"/>
      <c r="G41" s="778"/>
      <c r="X41" s="771"/>
      <c r="Y41" s="772"/>
    </row>
    <row r="42">
      <c r="A42" s="805" t="s">
        <v>97</v>
      </c>
      <c r="B42" s="803">
        <f t="shared" si="2"/>
        <v>0</v>
      </c>
      <c r="C42" s="804"/>
      <c r="D42" s="778">
        <f>-Ficha!AN42*Ficha!AO42</f>
        <v>0</v>
      </c>
      <c r="E42" s="778"/>
      <c r="F42" s="778"/>
      <c r="G42" s="778"/>
      <c r="X42" s="771"/>
      <c r="Y42" s="772"/>
    </row>
    <row r="43">
      <c r="A43" s="805" t="s">
        <v>101</v>
      </c>
      <c r="B43" s="803">
        <f t="shared" si="2"/>
        <v>0</v>
      </c>
      <c r="C43" s="804"/>
      <c r="D43" s="778">
        <f>-Ficha!AN43*Ficha!AO43</f>
        <v>0</v>
      </c>
      <c r="E43" s="778"/>
      <c r="F43" s="778"/>
      <c r="G43" s="778"/>
      <c r="X43" s="771"/>
      <c r="Y43" s="772"/>
    </row>
    <row r="44">
      <c r="A44" s="805" t="s">
        <v>104</v>
      </c>
      <c r="B44" s="803">
        <f t="shared" si="2"/>
        <v>0</v>
      </c>
      <c r="C44" s="804"/>
      <c r="D44" s="778">
        <f>-Ficha!AN42*Ficha!AO42</f>
        <v>0</v>
      </c>
      <c r="E44" s="778"/>
      <c r="F44" s="778"/>
      <c r="G44" s="778"/>
      <c r="X44" s="771"/>
      <c r="Y44" s="772"/>
    </row>
    <row r="45">
      <c r="A45" s="807" t="s">
        <v>107</v>
      </c>
      <c r="B45" s="803">
        <f t="shared" si="2"/>
        <v>0</v>
      </c>
      <c r="C45" s="804"/>
      <c r="D45" s="777">
        <f>-Ficha!AN42*Ficha!AO42</f>
        <v>0</v>
      </c>
      <c r="E45" s="778"/>
      <c r="F45" s="778"/>
      <c r="G45" s="778"/>
      <c r="X45" s="771"/>
      <c r="Y45" s="772"/>
    </row>
    <row r="46">
      <c r="A46" s="805" t="s">
        <v>111</v>
      </c>
      <c r="B46" s="803">
        <f t="shared" si="2"/>
        <v>0</v>
      </c>
      <c r="C46" s="804"/>
      <c r="D46" s="778">
        <f>-Ficha!AV36*10</f>
        <v>0</v>
      </c>
      <c r="E46" s="778"/>
      <c r="F46" s="778"/>
      <c r="G46" s="778"/>
      <c r="X46" s="771"/>
      <c r="Y46" s="772"/>
    </row>
    <row r="47">
      <c r="A47" s="805" t="s">
        <v>116</v>
      </c>
      <c r="B47" s="803">
        <f t="shared" si="2"/>
        <v>0</v>
      </c>
      <c r="C47" s="804"/>
      <c r="D47" s="778"/>
      <c r="E47" s="778"/>
      <c r="F47" s="778"/>
      <c r="G47" s="778"/>
      <c r="X47" s="771"/>
      <c r="Y47" s="772"/>
    </row>
    <row r="48">
      <c r="A48" s="805" t="s">
        <v>120</v>
      </c>
      <c r="B48" s="803">
        <f t="shared" si="2"/>
        <v>0</v>
      </c>
      <c r="C48" s="804"/>
      <c r="D48" s="778"/>
      <c r="E48" s="778"/>
      <c r="F48" s="778"/>
      <c r="G48" s="778"/>
      <c r="X48" s="771"/>
      <c r="Y48" s="772"/>
    </row>
    <row r="49">
      <c r="A49" s="805" t="s">
        <v>123</v>
      </c>
      <c r="B49" s="803">
        <f t="shared" si="2"/>
        <v>0</v>
      </c>
      <c r="C49" s="804"/>
      <c r="D49" s="778">
        <f>-Ficha!AV31*Ficha!AW31-Ficha!AN30*Ficha!AO30</f>
        <v>0</v>
      </c>
      <c r="E49" s="778"/>
      <c r="F49" s="778"/>
      <c r="G49" s="778"/>
      <c r="X49" s="771"/>
      <c r="Y49" s="772"/>
    </row>
    <row r="50">
      <c r="A50" s="805" t="s">
        <v>131</v>
      </c>
      <c r="B50" s="803">
        <f t="shared" si="2"/>
        <v>0</v>
      </c>
      <c r="C50" s="804"/>
      <c r="D50" s="778">
        <f>-Ficha!AN43*Ficha!AO43</f>
        <v>0</v>
      </c>
      <c r="E50" s="778"/>
      <c r="F50" s="778"/>
      <c r="G50" s="778"/>
      <c r="X50" s="771"/>
      <c r="Y50" s="772"/>
    </row>
    <row r="51">
      <c r="A51" s="808" t="s">
        <v>1148</v>
      </c>
      <c r="B51" s="809">
        <f t="shared" ref="B51:B61" si="3">sum(C51:G51)</f>
        <v>0</v>
      </c>
      <c r="C51" s="810"/>
      <c r="D51" s="778">
        <f>-Ficha!AV41*Ficha!AW41</f>
        <v>0</v>
      </c>
      <c r="E51" s="778"/>
      <c r="F51" s="778"/>
      <c r="G51" s="778"/>
      <c r="X51" s="771"/>
      <c r="Y51" s="772"/>
    </row>
    <row r="52">
      <c r="A52" s="811" t="s">
        <v>1149</v>
      </c>
      <c r="B52" s="812">
        <f t="shared" si="3"/>
        <v>0</v>
      </c>
      <c r="C52" s="813"/>
      <c r="D52" s="778">
        <f>-Ficha!AV41*Ficha!AW41-(-Ficha!AV36*Ficha!AW36*2)</f>
        <v>0</v>
      </c>
      <c r="E52" s="778"/>
      <c r="F52" s="778"/>
      <c r="G52" s="778"/>
      <c r="X52" s="771"/>
      <c r="Y52" s="772"/>
    </row>
    <row r="53">
      <c r="A53" s="811" t="s">
        <v>1150</v>
      </c>
      <c r="B53" s="812">
        <f t="shared" si="3"/>
        <v>2</v>
      </c>
      <c r="C53" s="814">
        <v>2.0</v>
      </c>
      <c r="D53" s="778">
        <f>-Ficha!AV41*Ficha!AW41-Ficha!AN39*Ficha!AO39*4</f>
        <v>0</v>
      </c>
      <c r="E53" s="778"/>
      <c r="F53" s="778"/>
      <c r="G53" s="778"/>
      <c r="X53" s="771"/>
      <c r="Y53" s="772"/>
    </row>
    <row r="54">
      <c r="A54" s="811" t="s">
        <v>531</v>
      </c>
      <c r="B54" s="812">
        <f t="shared" si="3"/>
        <v>0</v>
      </c>
      <c r="C54" s="813"/>
      <c r="D54" s="778">
        <f>-Ficha!AV41*Ficha!AW41-(-Ficha!AV36*Ficha!AW36*2)</f>
        <v>0</v>
      </c>
      <c r="E54" s="778"/>
      <c r="F54" s="778"/>
      <c r="G54" s="778"/>
      <c r="X54" s="771"/>
      <c r="Y54" s="772"/>
    </row>
    <row r="55">
      <c r="A55" s="811" t="s">
        <v>1151</v>
      </c>
      <c r="B55" s="812">
        <f t="shared" si="3"/>
        <v>4</v>
      </c>
      <c r="C55" s="814">
        <v>4.0</v>
      </c>
      <c r="D55" s="778">
        <f>-Ficha!AV41*Ficha!AW41-Ficha!AN39*Ficha!AO39*4</f>
        <v>0</v>
      </c>
      <c r="E55" s="778"/>
      <c r="F55" s="778"/>
      <c r="G55" s="778"/>
      <c r="X55" s="771"/>
      <c r="Y55" s="772"/>
    </row>
    <row r="56">
      <c r="A56" s="815" t="s">
        <v>1152</v>
      </c>
      <c r="B56" s="816">
        <f t="shared" si="3"/>
        <v>0</v>
      </c>
      <c r="C56" s="817"/>
      <c r="D56" s="778">
        <f>-Ficha!AV41*Ficha!AW41-(-Ficha!AV36*Ficha!AW36*2)</f>
        <v>0</v>
      </c>
      <c r="E56" s="778"/>
      <c r="F56" s="778"/>
      <c r="G56" s="778"/>
      <c r="X56" s="771"/>
      <c r="Y56" s="772"/>
    </row>
    <row r="57">
      <c r="A57" s="815" t="s">
        <v>1153</v>
      </c>
      <c r="B57" s="816">
        <f t="shared" si="3"/>
        <v>0</v>
      </c>
      <c r="C57" s="817"/>
      <c r="D57" s="778">
        <f>-Ficha!AV41*Ficha!AW41-Ficha!AN42*Ficha!AO42-Ficha!AN46*Ficha!AO46</f>
        <v>0</v>
      </c>
      <c r="E57" s="778"/>
      <c r="F57" s="778"/>
      <c r="G57" s="778"/>
      <c r="X57" s="771"/>
      <c r="Y57" s="772"/>
    </row>
    <row r="58">
      <c r="A58" s="815" t="s">
        <v>1154</v>
      </c>
      <c r="B58" s="816">
        <f t="shared" si="3"/>
        <v>0</v>
      </c>
      <c r="C58" s="817"/>
      <c r="D58" s="778">
        <f>-Ficha!AV41*Ficha!AW41-(-Ficha!AV36*Ficha!AW36*2)</f>
        <v>0</v>
      </c>
      <c r="E58" s="778"/>
      <c r="F58" s="778"/>
      <c r="G58" s="778"/>
      <c r="X58" s="771"/>
      <c r="Y58" s="772"/>
    </row>
    <row r="59">
      <c r="A59" s="815" t="s">
        <v>1155</v>
      </c>
      <c r="B59" s="816">
        <f t="shared" si="3"/>
        <v>0</v>
      </c>
      <c r="C59" s="817"/>
      <c r="D59" s="778">
        <f>-Ficha!AV41*Ficha!AW41-Ficha!AN42*Ficha!AO42-Ficha!AN46*Ficha!AO46</f>
        <v>0</v>
      </c>
      <c r="E59" s="778"/>
      <c r="F59" s="778"/>
      <c r="G59" s="778"/>
      <c r="X59" s="771"/>
      <c r="Y59" s="772"/>
    </row>
    <row r="60">
      <c r="A60" s="815" t="s">
        <v>1156</v>
      </c>
      <c r="B60" s="816">
        <f t="shared" si="3"/>
        <v>0</v>
      </c>
      <c r="C60" s="817"/>
      <c r="D60" s="778">
        <f>-Ficha!AV41*Ficha!AW41-(-Ficha!AV36*Ficha!AW36*2)</f>
        <v>0</v>
      </c>
      <c r="E60" s="778"/>
      <c r="F60" s="778"/>
      <c r="G60" s="778"/>
      <c r="X60" s="771"/>
      <c r="Y60" s="772"/>
    </row>
    <row r="61">
      <c r="A61" s="815" t="s">
        <v>1157</v>
      </c>
      <c r="B61" s="816">
        <f t="shared" si="3"/>
        <v>0</v>
      </c>
      <c r="C61" s="817"/>
      <c r="D61" s="778">
        <f>-Ficha!AV41*Ficha!AW41-Ficha!AN42*Ficha!AO42</f>
        <v>0</v>
      </c>
      <c r="E61" s="778"/>
      <c r="F61" s="778"/>
      <c r="G61" s="778"/>
      <c r="X61" s="771"/>
      <c r="Y61" s="772"/>
    </row>
    <row r="62">
      <c r="X62" s="771"/>
      <c r="Y62" s="772"/>
    </row>
    <row r="63">
      <c r="X63" s="771"/>
      <c r="Y63" s="772"/>
    </row>
    <row r="64">
      <c r="X64" s="771"/>
      <c r="Y64" s="772"/>
    </row>
    <row r="65">
      <c r="X65" s="771"/>
      <c r="Y65" s="772"/>
    </row>
    <row r="66">
      <c r="X66" s="771"/>
      <c r="Y66" s="772"/>
    </row>
    <row r="67">
      <c r="X67" s="771"/>
      <c r="Y67" s="772"/>
    </row>
    <row r="68">
      <c r="X68" s="771"/>
      <c r="Y68" s="772"/>
    </row>
    <row r="69">
      <c r="X69" s="771"/>
      <c r="Y69" s="772"/>
    </row>
    <row r="70">
      <c r="X70" s="771"/>
      <c r="Y70" s="772"/>
    </row>
    <row r="71">
      <c r="X71" s="771"/>
      <c r="Y71" s="772"/>
    </row>
    <row r="72">
      <c r="X72" s="771"/>
      <c r="Y72" s="772"/>
    </row>
    <row r="73">
      <c r="X73" s="771"/>
      <c r="Y73" s="772"/>
    </row>
    <row r="74">
      <c r="X74" s="771"/>
      <c r="Y74" s="772"/>
    </row>
    <row r="75">
      <c r="X75" s="771"/>
      <c r="Y75" s="772"/>
    </row>
    <row r="76">
      <c r="X76" s="771"/>
      <c r="Y76" s="772"/>
    </row>
    <row r="77">
      <c r="X77" s="771"/>
      <c r="Y77" s="772"/>
    </row>
    <row r="78">
      <c r="X78" s="771"/>
      <c r="Y78" s="772"/>
    </row>
    <row r="79">
      <c r="X79" s="771"/>
      <c r="Y79" s="772"/>
    </row>
    <row r="80">
      <c r="X80" s="771"/>
      <c r="Y80" s="772"/>
    </row>
    <row r="81">
      <c r="X81" s="771"/>
      <c r="Y81" s="772"/>
    </row>
    <row r="82">
      <c r="X82" s="771"/>
      <c r="Y82" s="772"/>
    </row>
    <row r="83">
      <c r="X83" s="771"/>
      <c r="Y83" s="772"/>
    </row>
    <row r="84">
      <c r="X84" s="771"/>
      <c r="Y84" s="772"/>
    </row>
    <row r="85">
      <c r="X85" s="771"/>
      <c r="Y85" s="772"/>
    </row>
    <row r="86">
      <c r="X86" s="771"/>
      <c r="Y86" s="772"/>
    </row>
    <row r="87">
      <c r="X87" s="771"/>
      <c r="Y87" s="772"/>
    </row>
    <row r="88">
      <c r="X88" s="771"/>
      <c r="Y88" s="772"/>
    </row>
    <row r="89">
      <c r="X89" s="771"/>
      <c r="Y89" s="772"/>
    </row>
    <row r="90">
      <c r="X90" s="771"/>
      <c r="Y90" s="772"/>
    </row>
    <row r="91">
      <c r="X91" s="771"/>
      <c r="Y91" s="772"/>
    </row>
    <row r="92">
      <c r="X92" s="771"/>
      <c r="Y92" s="772"/>
    </row>
    <row r="93">
      <c r="X93" s="771"/>
      <c r="Y93" s="772"/>
    </row>
    <row r="94">
      <c r="X94" s="771"/>
      <c r="Y94" s="772"/>
    </row>
    <row r="95">
      <c r="X95" s="771"/>
      <c r="Y95" s="772"/>
    </row>
    <row r="96">
      <c r="X96" s="771"/>
      <c r="Y96" s="772"/>
    </row>
    <row r="97">
      <c r="X97" s="771"/>
      <c r="Y97" s="772"/>
    </row>
    <row r="98">
      <c r="X98" s="771"/>
      <c r="Y98" s="772"/>
    </row>
    <row r="99">
      <c r="X99" s="771"/>
      <c r="Y99" s="772"/>
    </row>
    <row r="100">
      <c r="X100" s="771"/>
      <c r="Y100" s="772"/>
    </row>
    <row r="101">
      <c r="X101" s="771"/>
      <c r="Y101" s="772"/>
    </row>
    <row r="102">
      <c r="X102" s="771"/>
      <c r="Y102" s="772"/>
    </row>
    <row r="103">
      <c r="X103" s="771"/>
      <c r="Y103" s="772"/>
    </row>
    <row r="104">
      <c r="X104" s="771"/>
      <c r="Y104" s="772"/>
    </row>
    <row r="105">
      <c r="X105" s="771"/>
      <c r="Y105" s="772"/>
    </row>
    <row r="106">
      <c r="X106" s="771"/>
      <c r="Y106" s="772"/>
    </row>
    <row r="107">
      <c r="X107" s="771"/>
      <c r="Y107" s="772"/>
    </row>
    <row r="108">
      <c r="X108" s="771"/>
      <c r="Y108" s="772"/>
    </row>
    <row r="109">
      <c r="X109" s="771"/>
      <c r="Y109" s="772"/>
    </row>
    <row r="110">
      <c r="X110" s="771"/>
      <c r="Y110" s="772"/>
    </row>
    <row r="111">
      <c r="X111" s="771"/>
      <c r="Y111" s="772"/>
    </row>
    <row r="112">
      <c r="X112" s="771"/>
      <c r="Y112" s="772"/>
    </row>
    <row r="113">
      <c r="X113" s="771"/>
      <c r="Y113" s="772"/>
    </row>
    <row r="114">
      <c r="X114" s="771"/>
      <c r="Y114" s="772"/>
    </row>
    <row r="115">
      <c r="X115" s="771"/>
      <c r="Y115" s="772"/>
    </row>
    <row r="116">
      <c r="X116" s="771"/>
      <c r="Y116" s="772"/>
    </row>
    <row r="117">
      <c r="X117" s="771"/>
      <c r="Y117" s="772"/>
    </row>
    <row r="118">
      <c r="X118" s="771"/>
      <c r="Y118" s="772"/>
    </row>
    <row r="119">
      <c r="X119" s="771"/>
      <c r="Y119" s="772"/>
    </row>
    <row r="120">
      <c r="X120" s="771"/>
      <c r="Y120" s="772"/>
    </row>
    <row r="121">
      <c r="X121" s="771"/>
      <c r="Y121" s="772"/>
    </row>
    <row r="122">
      <c r="X122" s="771"/>
      <c r="Y122" s="772"/>
    </row>
    <row r="123">
      <c r="X123" s="771"/>
      <c r="Y123" s="772"/>
    </row>
    <row r="124">
      <c r="X124" s="771"/>
      <c r="Y124" s="772"/>
    </row>
    <row r="125">
      <c r="X125" s="771"/>
      <c r="Y125" s="772"/>
    </row>
    <row r="126">
      <c r="X126" s="771"/>
      <c r="Y126" s="772"/>
    </row>
    <row r="127">
      <c r="X127" s="771"/>
      <c r="Y127" s="772"/>
    </row>
    <row r="128">
      <c r="X128" s="771"/>
      <c r="Y128" s="772"/>
    </row>
    <row r="129">
      <c r="X129" s="771"/>
      <c r="Y129" s="772"/>
    </row>
    <row r="130">
      <c r="X130" s="771"/>
      <c r="Y130" s="772"/>
    </row>
    <row r="131">
      <c r="X131" s="771"/>
      <c r="Y131" s="772"/>
    </row>
    <row r="132">
      <c r="X132" s="771"/>
      <c r="Y132" s="772"/>
    </row>
    <row r="133">
      <c r="X133" s="771"/>
      <c r="Y133" s="772"/>
    </row>
    <row r="134">
      <c r="X134" s="771"/>
      <c r="Y134" s="772"/>
    </row>
    <row r="135">
      <c r="X135" s="771"/>
      <c r="Y135" s="772"/>
    </row>
    <row r="136">
      <c r="X136" s="771"/>
      <c r="Y136" s="772"/>
    </row>
    <row r="137">
      <c r="X137" s="771"/>
      <c r="Y137" s="772"/>
    </row>
    <row r="138">
      <c r="X138" s="771"/>
      <c r="Y138" s="772"/>
    </row>
    <row r="139">
      <c r="X139" s="771"/>
      <c r="Y139" s="772"/>
    </row>
    <row r="140">
      <c r="X140" s="771"/>
      <c r="Y140" s="772"/>
    </row>
    <row r="141">
      <c r="X141" s="771"/>
      <c r="Y141" s="772"/>
    </row>
    <row r="142">
      <c r="X142" s="771"/>
      <c r="Y142" s="772"/>
    </row>
    <row r="143">
      <c r="X143" s="771"/>
      <c r="Y143" s="772"/>
    </row>
    <row r="144">
      <c r="X144" s="771"/>
      <c r="Y144" s="772"/>
    </row>
    <row r="145">
      <c r="X145" s="771"/>
      <c r="Y145" s="772"/>
    </row>
    <row r="146">
      <c r="X146" s="771"/>
      <c r="Y146" s="772"/>
    </row>
    <row r="147">
      <c r="X147" s="771"/>
      <c r="Y147" s="772"/>
    </row>
    <row r="148">
      <c r="X148" s="771"/>
      <c r="Y148" s="772"/>
    </row>
    <row r="149">
      <c r="X149" s="771"/>
      <c r="Y149" s="772"/>
    </row>
    <row r="150">
      <c r="X150" s="771"/>
      <c r="Y150" s="772"/>
    </row>
    <row r="151">
      <c r="X151" s="771"/>
      <c r="Y151" s="772"/>
    </row>
    <row r="152">
      <c r="X152" s="771"/>
      <c r="Y152" s="772"/>
    </row>
    <row r="153">
      <c r="X153" s="771"/>
      <c r="Y153" s="772"/>
    </row>
    <row r="154">
      <c r="X154" s="771"/>
      <c r="Y154" s="772"/>
    </row>
    <row r="155">
      <c r="X155" s="771"/>
      <c r="Y155" s="772"/>
    </row>
    <row r="156">
      <c r="X156" s="771"/>
      <c r="Y156" s="772"/>
    </row>
    <row r="157">
      <c r="X157" s="771"/>
      <c r="Y157" s="772"/>
    </row>
    <row r="158">
      <c r="X158" s="771"/>
      <c r="Y158" s="772"/>
    </row>
    <row r="159">
      <c r="X159" s="771"/>
      <c r="Y159" s="772"/>
    </row>
    <row r="160">
      <c r="X160" s="771"/>
      <c r="Y160" s="772"/>
    </row>
    <row r="161">
      <c r="X161" s="771"/>
      <c r="Y161" s="772"/>
    </row>
    <row r="162">
      <c r="X162" s="771"/>
      <c r="Y162" s="772"/>
    </row>
    <row r="163">
      <c r="X163" s="771"/>
      <c r="Y163" s="772"/>
    </row>
    <row r="164">
      <c r="X164" s="771"/>
      <c r="Y164" s="772"/>
    </row>
    <row r="165">
      <c r="X165" s="771"/>
      <c r="Y165" s="772"/>
    </row>
    <row r="166">
      <c r="X166" s="771"/>
      <c r="Y166" s="772"/>
    </row>
    <row r="167">
      <c r="X167" s="771"/>
      <c r="Y167" s="772"/>
    </row>
    <row r="168">
      <c r="X168" s="771"/>
      <c r="Y168" s="772"/>
    </row>
    <row r="169">
      <c r="X169" s="771"/>
      <c r="Y169" s="772"/>
    </row>
    <row r="170">
      <c r="X170" s="771"/>
      <c r="Y170" s="772"/>
    </row>
    <row r="171">
      <c r="X171" s="771"/>
      <c r="Y171" s="772"/>
    </row>
    <row r="172">
      <c r="X172" s="771"/>
      <c r="Y172" s="772"/>
    </row>
    <row r="173">
      <c r="X173" s="771"/>
      <c r="Y173" s="772"/>
    </row>
    <row r="174">
      <c r="X174" s="771"/>
      <c r="Y174" s="772"/>
    </row>
    <row r="175">
      <c r="X175" s="771"/>
      <c r="Y175" s="772"/>
    </row>
    <row r="176">
      <c r="X176" s="771"/>
      <c r="Y176" s="772"/>
    </row>
    <row r="177">
      <c r="X177" s="771"/>
      <c r="Y177" s="772"/>
    </row>
    <row r="178">
      <c r="X178" s="771"/>
      <c r="Y178" s="772"/>
    </row>
    <row r="179">
      <c r="X179" s="771"/>
      <c r="Y179" s="772"/>
    </row>
    <row r="180">
      <c r="X180" s="771"/>
      <c r="Y180" s="772"/>
    </row>
    <row r="181">
      <c r="X181" s="771"/>
      <c r="Y181" s="772"/>
    </row>
    <row r="182">
      <c r="X182" s="771"/>
      <c r="Y182" s="772"/>
    </row>
    <row r="183">
      <c r="X183" s="771"/>
      <c r="Y183" s="772"/>
    </row>
    <row r="184">
      <c r="X184" s="771"/>
      <c r="Y184" s="772"/>
    </row>
    <row r="185">
      <c r="X185" s="771"/>
      <c r="Y185" s="772"/>
    </row>
    <row r="186">
      <c r="X186" s="771"/>
      <c r="Y186" s="772"/>
    </row>
    <row r="187">
      <c r="X187" s="771"/>
      <c r="Y187" s="772"/>
    </row>
    <row r="188">
      <c r="X188" s="771"/>
      <c r="Y188" s="772"/>
    </row>
    <row r="189">
      <c r="X189" s="771"/>
      <c r="Y189" s="772"/>
    </row>
    <row r="190">
      <c r="X190" s="771"/>
      <c r="Y190" s="772"/>
    </row>
    <row r="191">
      <c r="X191" s="771"/>
      <c r="Y191" s="772"/>
    </row>
    <row r="192">
      <c r="X192" s="771"/>
      <c r="Y192" s="772"/>
    </row>
    <row r="193">
      <c r="X193" s="771"/>
      <c r="Y193" s="772"/>
    </row>
    <row r="194">
      <c r="X194" s="771"/>
      <c r="Y194" s="772"/>
    </row>
    <row r="195">
      <c r="X195" s="771"/>
      <c r="Y195" s="772"/>
    </row>
    <row r="196">
      <c r="X196" s="771"/>
      <c r="Y196" s="772"/>
    </row>
    <row r="197">
      <c r="X197" s="771"/>
      <c r="Y197" s="772"/>
    </row>
    <row r="198">
      <c r="X198" s="771"/>
      <c r="Y198" s="772"/>
    </row>
    <row r="199">
      <c r="X199" s="771"/>
      <c r="Y199" s="772"/>
    </row>
    <row r="200">
      <c r="X200" s="771"/>
      <c r="Y200" s="772"/>
    </row>
    <row r="201">
      <c r="X201" s="771"/>
      <c r="Y201" s="772"/>
    </row>
    <row r="202">
      <c r="X202" s="771"/>
      <c r="Y202" s="772"/>
    </row>
    <row r="203">
      <c r="X203" s="771"/>
      <c r="Y203" s="772"/>
    </row>
    <row r="204">
      <c r="X204" s="771"/>
      <c r="Y204" s="772"/>
    </row>
    <row r="205">
      <c r="X205" s="771"/>
      <c r="Y205" s="772"/>
    </row>
    <row r="206">
      <c r="X206" s="771"/>
      <c r="Y206" s="772"/>
    </row>
    <row r="207">
      <c r="X207" s="771"/>
      <c r="Y207" s="772"/>
    </row>
    <row r="208">
      <c r="X208" s="771"/>
      <c r="Y208" s="772"/>
    </row>
    <row r="209">
      <c r="X209" s="771"/>
      <c r="Y209" s="772"/>
    </row>
    <row r="210">
      <c r="X210" s="771"/>
      <c r="Y210" s="772"/>
    </row>
    <row r="211">
      <c r="X211" s="771"/>
      <c r="Y211" s="772"/>
    </row>
    <row r="212">
      <c r="X212" s="771"/>
      <c r="Y212" s="772"/>
    </row>
    <row r="213">
      <c r="X213" s="771"/>
      <c r="Y213" s="772"/>
    </row>
    <row r="214">
      <c r="X214" s="771"/>
      <c r="Y214" s="772"/>
    </row>
    <row r="215">
      <c r="X215" s="771"/>
      <c r="Y215" s="772"/>
    </row>
    <row r="216">
      <c r="X216" s="771"/>
      <c r="Y216" s="772"/>
    </row>
    <row r="217">
      <c r="X217" s="771"/>
      <c r="Y217" s="772"/>
    </row>
    <row r="218">
      <c r="X218" s="771"/>
      <c r="Y218" s="772"/>
    </row>
    <row r="219">
      <c r="X219" s="771"/>
      <c r="Y219" s="772"/>
    </row>
    <row r="220">
      <c r="X220" s="771"/>
      <c r="Y220" s="772"/>
    </row>
    <row r="221">
      <c r="X221" s="771"/>
      <c r="Y221" s="772"/>
    </row>
    <row r="222">
      <c r="X222" s="771"/>
      <c r="Y222" s="772"/>
    </row>
    <row r="223">
      <c r="X223" s="771"/>
      <c r="Y223" s="772"/>
    </row>
    <row r="224">
      <c r="X224" s="771"/>
      <c r="Y224" s="772"/>
    </row>
    <row r="225">
      <c r="X225" s="771"/>
      <c r="Y225" s="772"/>
    </row>
    <row r="226">
      <c r="X226" s="771"/>
      <c r="Y226" s="772"/>
    </row>
    <row r="227">
      <c r="X227" s="771"/>
      <c r="Y227" s="772"/>
    </row>
    <row r="228">
      <c r="X228" s="771"/>
      <c r="Y228" s="772"/>
    </row>
    <row r="229">
      <c r="X229" s="771"/>
      <c r="Y229" s="772"/>
    </row>
    <row r="230">
      <c r="X230" s="771"/>
      <c r="Y230" s="772"/>
    </row>
    <row r="231">
      <c r="X231" s="771"/>
      <c r="Y231" s="772"/>
    </row>
    <row r="232">
      <c r="X232" s="771"/>
      <c r="Y232" s="772"/>
    </row>
    <row r="233">
      <c r="X233" s="771"/>
      <c r="Y233" s="772"/>
    </row>
    <row r="234">
      <c r="X234" s="771"/>
      <c r="Y234" s="772"/>
    </row>
    <row r="235">
      <c r="X235" s="771"/>
      <c r="Y235" s="772"/>
    </row>
    <row r="236">
      <c r="X236" s="771"/>
      <c r="Y236" s="772"/>
    </row>
    <row r="237">
      <c r="X237" s="771"/>
      <c r="Y237" s="772"/>
    </row>
    <row r="238">
      <c r="X238" s="771"/>
      <c r="Y238" s="772"/>
    </row>
    <row r="239">
      <c r="X239" s="771"/>
      <c r="Y239" s="772"/>
    </row>
    <row r="240">
      <c r="X240" s="771"/>
      <c r="Y240" s="772"/>
    </row>
    <row r="241">
      <c r="X241" s="771"/>
      <c r="Y241" s="772"/>
    </row>
    <row r="242">
      <c r="X242" s="771"/>
      <c r="Y242" s="772"/>
    </row>
    <row r="243">
      <c r="X243" s="771"/>
      <c r="Y243" s="772"/>
    </row>
    <row r="244">
      <c r="X244" s="771"/>
      <c r="Y244" s="772"/>
    </row>
    <row r="245">
      <c r="X245" s="771"/>
      <c r="Y245" s="772"/>
    </row>
    <row r="246">
      <c r="X246" s="771"/>
      <c r="Y246" s="772"/>
    </row>
    <row r="247">
      <c r="X247" s="771"/>
      <c r="Y247" s="772"/>
    </row>
    <row r="248">
      <c r="X248" s="771"/>
      <c r="Y248" s="772"/>
    </row>
    <row r="249">
      <c r="X249" s="771"/>
      <c r="Y249" s="772"/>
    </row>
    <row r="250">
      <c r="X250" s="771"/>
      <c r="Y250" s="772"/>
    </row>
    <row r="251">
      <c r="X251" s="771"/>
      <c r="Y251" s="772"/>
    </row>
    <row r="252">
      <c r="X252" s="771"/>
      <c r="Y252" s="772"/>
    </row>
    <row r="253">
      <c r="X253" s="771"/>
      <c r="Y253" s="772"/>
    </row>
    <row r="254">
      <c r="X254" s="771"/>
      <c r="Y254" s="772"/>
    </row>
    <row r="255">
      <c r="X255" s="771"/>
      <c r="Y255" s="772"/>
    </row>
    <row r="256">
      <c r="X256" s="771"/>
      <c r="Y256" s="772"/>
    </row>
    <row r="257">
      <c r="X257" s="771"/>
      <c r="Y257" s="772"/>
    </row>
    <row r="258">
      <c r="X258" s="771"/>
      <c r="Y258" s="772"/>
    </row>
    <row r="259">
      <c r="X259" s="771"/>
      <c r="Y259" s="772"/>
    </row>
    <row r="260">
      <c r="X260" s="771"/>
      <c r="Y260" s="772"/>
    </row>
    <row r="261">
      <c r="X261" s="771"/>
      <c r="Y261" s="772"/>
    </row>
    <row r="262">
      <c r="X262" s="771"/>
      <c r="Y262" s="772"/>
    </row>
    <row r="263">
      <c r="X263" s="771"/>
      <c r="Y263" s="772"/>
    </row>
    <row r="264">
      <c r="X264" s="771"/>
      <c r="Y264" s="772"/>
    </row>
    <row r="265">
      <c r="X265" s="771"/>
      <c r="Y265" s="772"/>
    </row>
    <row r="266">
      <c r="X266" s="771"/>
      <c r="Y266" s="772"/>
    </row>
    <row r="267">
      <c r="X267" s="771"/>
      <c r="Y267" s="772"/>
    </row>
    <row r="268">
      <c r="X268" s="771"/>
      <c r="Y268" s="772"/>
    </row>
    <row r="269">
      <c r="X269" s="771"/>
      <c r="Y269" s="772"/>
    </row>
    <row r="270">
      <c r="X270" s="771"/>
      <c r="Y270" s="772"/>
    </row>
    <row r="271">
      <c r="X271" s="771"/>
      <c r="Y271" s="772"/>
    </row>
    <row r="272">
      <c r="X272" s="771"/>
      <c r="Y272" s="772"/>
    </row>
    <row r="273">
      <c r="X273" s="771"/>
      <c r="Y273" s="772"/>
    </row>
    <row r="274">
      <c r="X274" s="771"/>
      <c r="Y274" s="772"/>
    </row>
    <row r="275">
      <c r="X275" s="771"/>
      <c r="Y275" s="772"/>
    </row>
    <row r="276">
      <c r="X276" s="771"/>
      <c r="Y276" s="772"/>
    </row>
    <row r="277">
      <c r="X277" s="771"/>
      <c r="Y277" s="772"/>
    </row>
    <row r="278">
      <c r="X278" s="771"/>
      <c r="Y278" s="772"/>
    </row>
    <row r="279">
      <c r="X279" s="771"/>
      <c r="Y279" s="772"/>
    </row>
    <row r="280">
      <c r="X280" s="771"/>
      <c r="Y280" s="772"/>
    </row>
    <row r="281">
      <c r="X281" s="771"/>
      <c r="Y281" s="772"/>
    </row>
    <row r="282">
      <c r="X282" s="771"/>
      <c r="Y282" s="772"/>
    </row>
    <row r="283">
      <c r="X283" s="771"/>
      <c r="Y283" s="772"/>
    </row>
    <row r="284">
      <c r="X284" s="771"/>
      <c r="Y284" s="772"/>
    </row>
    <row r="285">
      <c r="X285" s="771"/>
      <c r="Y285" s="772"/>
    </row>
    <row r="286">
      <c r="X286" s="771"/>
      <c r="Y286" s="772"/>
    </row>
    <row r="287">
      <c r="X287" s="771"/>
      <c r="Y287" s="772"/>
    </row>
    <row r="288">
      <c r="X288" s="771"/>
      <c r="Y288" s="772"/>
    </row>
    <row r="289">
      <c r="X289" s="771"/>
      <c r="Y289" s="772"/>
    </row>
    <row r="290">
      <c r="X290" s="771"/>
      <c r="Y290" s="772"/>
    </row>
    <row r="291">
      <c r="X291" s="771"/>
      <c r="Y291" s="772"/>
    </row>
    <row r="292">
      <c r="X292" s="771"/>
      <c r="Y292" s="772"/>
    </row>
    <row r="293">
      <c r="X293" s="771"/>
      <c r="Y293" s="772"/>
    </row>
    <row r="294">
      <c r="X294" s="771"/>
      <c r="Y294" s="772"/>
    </row>
    <row r="295">
      <c r="X295" s="771"/>
      <c r="Y295" s="772"/>
    </row>
    <row r="296">
      <c r="X296" s="771"/>
      <c r="Y296" s="772"/>
    </row>
    <row r="297">
      <c r="X297" s="771"/>
      <c r="Y297" s="772"/>
    </row>
    <row r="298">
      <c r="X298" s="771"/>
      <c r="Y298" s="772"/>
    </row>
    <row r="299">
      <c r="X299" s="771"/>
      <c r="Y299" s="772"/>
    </row>
    <row r="300">
      <c r="X300" s="771"/>
      <c r="Y300" s="772"/>
    </row>
    <row r="301">
      <c r="X301" s="771"/>
      <c r="Y301" s="772"/>
    </row>
    <row r="302">
      <c r="X302" s="771"/>
      <c r="Y302" s="772"/>
    </row>
    <row r="303">
      <c r="X303" s="771"/>
      <c r="Y303" s="772"/>
    </row>
    <row r="304">
      <c r="X304" s="771"/>
      <c r="Y304" s="772"/>
    </row>
    <row r="305">
      <c r="X305" s="771"/>
      <c r="Y305" s="772"/>
    </row>
    <row r="306">
      <c r="X306" s="771"/>
      <c r="Y306" s="772"/>
    </row>
    <row r="307">
      <c r="X307" s="771"/>
      <c r="Y307" s="772"/>
    </row>
    <row r="308">
      <c r="X308" s="771"/>
      <c r="Y308" s="772"/>
    </row>
    <row r="309">
      <c r="X309" s="771"/>
      <c r="Y309" s="772"/>
    </row>
    <row r="310">
      <c r="X310" s="771"/>
      <c r="Y310" s="772"/>
    </row>
    <row r="311">
      <c r="X311" s="771"/>
      <c r="Y311" s="772"/>
    </row>
    <row r="312">
      <c r="X312" s="771"/>
      <c r="Y312" s="772"/>
    </row>
    <row r="313">
      <c r="X313" s="771"/>
      <c r="Y313" s="772"/>
    </row>
    <row r="314">
      <c r="X314" s="771"/>
      <c r="Y314" s="772"/>
    </row>
    <row r="315">
      <c r="X315" s="771"/>
      <c r="Y315" s="772"/>
    </row>
    <row r="316">
      <c r="X316" s="771"/>
      <c r="Y316" s="772"/>
    </row>
    <row r="317">
      <c r="X317" s="771"/>
      <c r="Y317" s="772"/>
    </row>
    <row r="318">
      <c r="X318" s="771"/>
      <c r="Y318" s="772"/>
    </row>
    <row r="319">
      <c r="X319" s="771"/>
      <c r="Y319" s="772"/>
    </row>
    <row r="320">
      <c r="X320" s="771"/>
      <c r="Y320" s="772"/>
    </row>
    <row r="321">
      <c r="X321" s="771"/>
      <c r="Y321" s="772"/>
    </row>
    <row r="322">
      <c r="X322" s="771"/>
      <c r="Y322" s="772"/>
    </row>
    <row r="323">
      <c r="X323" s="771"/>
      <c r="Y323" s="772"/>
    </row>
    <row r="324">
      <c r="X324" s="771"/>
      <c r="Y324" s="772"/>
    </row>
    <row r="325">
      <c r="X325" s="771"/>
      <c r="Y325" s="772"/>
    </row>
    <row r="326">
      <c r="X326" s="771"/>
      <c r="Y326" s="772"/>
    </row>
    <row r="327">
      <c r="X327" s="771"/>
      <c r="Y327" s="772"/>
    </row>
    <row r="328">
      <c r="X328" s="771"/>
      <c r="Y328" s="772"/>
    </row>
    <row r="329">
      <c r="X329" s="771"/>
      <c r="Y329" s="772"/>
    </row>
    <row r="330">
      <c r="X330" s="771"/>
      <c r="Y330" s="772"/>
    </row>
    <row r="331">
      <c r="X331" s="771"/>
      <c r="Y331" s="772"/>
    </row>
    <row r="332">
      <c r="X332" s="771"/>
      <c r="Y332" s="772"/>
    </row>
    <row r="333">
      <c r="X333" s="771"/>
      <c r="Y333" s="772"/>
    </row>
    <row r="334">
      <c r="X334" s="771"/>
      <c r="Y334" s="772"/>
    </row>
    <row r="335">
      <c r="X335" s="771"/>
      <c r="Y335" s="772"/>
    </row>
    <row r="336">
      <c r="X336" s="771"/>
      <c r="Y336" s="772"/>
    </row>
    <row r="337">
      <c r="X337" s="771"/>
      <c r="Y337" s="772"/>
    </row>
    <row r="338">
      <c r="X338" s="771"/>
      <c r="Y338" s="772"/>
    </row>
    <row r="339">
      <c r="X339" s="771"/>
      <c r="Y339" s="772"/>
    </row>
    <row r="340">
      <c r="X340" s="771"/>
      <c r="Y340" s="772"/>
    </row>
    <row r="341">
      <c r="X341" s="771"/>
      <c r="Y341" s="772"/>
    </row>
    <row r="342">
      <c r="X342" s="771"/>
      <c r="Y342" s="772"/>
    </row>
    <row r="343">
      <c r="X343" s="771"/>
      <c r="Y343" s="772"/>
    </row>
    <row r="344">
      <c r="X344" s="771"/>
      <c r="Y344" s="772"/>
    </row>
    <row r="345">
      <c r="X345" s="771"/>
      <c r="Y345" s="772"/>
    </row>
    <row r="346">
      <c r="X346" s="771"/>
      <c r="Y346" s="772"/>
    </row>
    <row r="347">
      <c r="X347" s="771"/>
      <c r="Y347" s="772"/>
    </row>
    <row r="348">
      <c r="X348" s="771"/>
      <c r="Y348" s="772"/>
    </row>
    <row r="349">
      <c r="X349" s="771"/>
      <c r="Y349" s="772"/>
    </row>
    <row r="350">
      <c r="X350" s="771"/>
      <c r="Y350" s="772"/>
    </row>
    <row r="351">
      <c r="X351" s="771"/>
      <c r="Y351" s="772"/>
    </row>
    <row r="352">
      <c r="X352" s="771"/>
      <c r="Y352" s="772"/>
    </row>
    <row r="353">
      <c r="X353" s="771"/>
      <c r="Y353" s="772"/>
    </row>
    <row r="354">
      <c r="X354" s="771"/>
      <c r="Y354" s="772"/>
    </row>
    <row r="355">
      <c r="X355" s="771"/>
      <c r="Y355" s="772"/>
    </row>
    <row r="356">
      <c r="X356" s="771"/>
      <c r="Y356" s="772"/>
    </row>
    <row r="357">
      <c r="X357" s="771"/>
      <c r="Y357" s="772"/>
    </row>
    <row r="358">
      <c r="X358" s="771"/>
      <c r="Y358" s="772"/>
    </row>
    <row r="359">
      <c r="X359" s="771"/>
      <c r="Y359" s="772"/>
    </row>
    <row r="360">
      <c r="X360" s="771"/>
      <c r="Y360" s="772"/>
    </row>
    <row r="361">
      <c r="X361" s="771"/>
      <c r="Y361" s="772"/>
    </row>
    <row r="362">
      <c r="X362" s="771"/>
      <c r="Y362" s="772"/>
    </row>
    <row r="363">
      <c r="X363" s="771"/>
      <c r="Y363" s="772"/>
    </row>
    <row r="364">
      <c r="X364" s="771"/>
      <c r="Y364" s="772"/>
    </row>
    <row r="365">
      <c r="X365" s="771"/>
      <c r="Y365" s="772"/>
    </row>
    <row r="366">
      <c r="X366" s="771"/>
      <c r="Y366" s="772"/>
    </row>
    <row r="367">
      <c r="X367" s="771"/>
      <c r="Y367" s="772"/>
    </row>
    <row r="368">
      <c r="X368" s="771"/>
      <c r="Y368" s="772"/>
    </row>
    <row r="369">
      <c r="X369" s="771"/>
      <c r="Y369" s="772"/>
    </row>
    <row r="370">
      <c r="X370" s="771"/>
      <c r="Y370" s="772"/>
    </row>
    <row r="371">
      <c r="X371" s="771"/>
      <c r="Y371" s="772"/>
    </row>
    <row r="372">
      <c r="X372" s="771"/>
      <c r="Y372" s="772"/>
    </row>
    <row r="373">
      <c r="X373" s="771"/>
      <c r="Y373" s="772"/>
    </row>
    <row r="374">
      <c r="X374" s="771"/>
      <c r="Y374" s="772"/>
    </row>
    <row r="375">
      <c r="X375" s="771"/>
      <c r="Y375" s="772"/>
    </row>
    <row r="376">
      <c r="X376" s="771"/>
      <c r="Y376" s="772"/>
    </row>
    <row r="377">
      <c r="X377" s="771"/>
      <c r="Y377" s="772"/>
    </row>
    <row r="378">
      <c r="X378" s="771"/>
      <c r="Y378" s="772"/>
    </row>
    <row r="379">
      <c r="X379" s="771"/>
      <c r="Y379" s="772"/>
    </row>
    <row r="380">
      <c r="X380" s="771"/>
      <c r="Y380" s="772"/>
    </row>
    <row r="381">
      <c r="X381" s="771"/>
      <c r="Y381" s="772"/>
    </row>
    <row r="382">
      <c r="X382" s="771"/>
      <c r="Y382" s="772"/>
    </row>
    <row r="383">
      <c r="X383" s="771"/>
      <c r="Y383" s="772"/>
    </row>
    <row r="384">
      <c r="X384" s="771"/>
      <c r="Y384" s="772"/>
    </row>
    <row r="385">
      <c r="X385" s="771"/>
      <c r="Y385" s="772"/>
    </row>
    <row r="386">
      <c r="X386" s="771"/>
      <c r="Y386" s="772"/>
    </row>
    <row r="387">
      <c r="X387" s="771"/>
      <c r="Y387" s="772"/>
    </row>
    <row r="388">
      <c r="X388" s="771"/>
      <c r="Y388" s="772"/>
    </row>
    <row r="389">
      <c r="X389" s="771"/>
      <c r="Y389" s="772"/>
    </row>
    <row r="390">
      <c r="X390" s="771"/>
      <c r="Y390" s="772"/>
    </row>
    <row r="391">
      <c r="X391" s="771"/>
      <c r="Y391" s="772"/>
    </row>
    <row r="392">
      <c r="X392" s="771"/>
      <c r="Y392" s="772"/>
    </row>
    <row r="393">
      <c r="X393" s="771"/>
      <c r="Y393" s="772"/>
    </row>
    <row r="394">
      <c r="X394" s="771"/>
      <c r="Y394" s="772"/>
    </row>
    <row r="395">
      <c r="X395" s="771"/>
      <c r="Y395" s="772"/>
    </row>
    <row r="396">
      <c r="X396" s="771"/>
      <c r="Y396" s="772"/>
    </row>
    <row r="397">
      <c r="X397" s="771"/>
      <c r="Y397" s="772"/>
    </row>
    <row r="398">
      <c r="X398" s="771"/>
      <c r="Y398" s="772"/>
    </row>
    <row r="399">
      <c r="X399" s="771"/>
      <c r="Y399" s="772"/>
    </row>
    <row r="400">
      <c r="X400" s="771"/>
      <c r="Y400" s="772"/>
    </row>
    <row r="401">
      <c r="X401" s="771"/>
      <c r="Y401" s="772"/>
    </row>
    <row r="402">
      <c r="X402" s="771"/>
      <c r="Y402" s="772"/>
    </row>
    <row r="403">
      <c r="X403" s="771"/>
      <c r="Y403" s="772"/>
    </row>
    <row r="404">
      <c r="X404" s="771"/>
      <c r="Y404" s="772"/>
    </row>
    <row r="405">
      <c r="X405" s="771"/>
      <c r="Y405" s="772"/>
    </row>
    <row r="406">
      <c r="X406" s="771"/>
      <c r="Y406" s="772"/>
    </row>
    <row r="407">
      <c r="X407" s="771"/>
      <c r="Y407" s="772"/>
    </row>
    <row r="408">
      <c r="X408" s="771"/>
      <c r="Y408" s="772"/>
    </row>
    <row r="409">
      <c r="X409" s="771"/>
      <c r="Y409" s="772"/>
    </row>
    <row r="410">
      <c r="X410" s="771"/>
      <c r="Y410" s="772"/>
    </row>
    <row r="411">
      <c r="X411" s="771"/>
      <c r="Y411" s="772"/>
    </row>
    <row r="412">
      <c r="X412" s="771"/>
      <c r="Y412" s="772"/>
    </row>
    <row r="413">
      <c r="X413" s="771"/>
      <c r="Y413" s="772"/>
    </row>
    <row r="414">
      <c r="X414" s="771"/>
      <c r="Y414" s="772"/>
    </row>
    <row r="415">
      <c r="X415" s="771"/>
      <c r="Y415" s="772"/>
    </row>
    <row r="416">
      <c r="X416" s="771"/>
      <c r="Y416" s="772"/>
    </row>
    <row r="417">
      <c r="X417" s="771"/>
      <c r="Y417" s="772"/>
    </row>
    <row r="418">
      <c r="X418" s="771"/>
      <c r="Y418" s="772"/>
    </row>
    <row r="419">
      <c r="X419" s="771"/>
      <c r="Y419" s="772"/>
    </row>
    <row r="420">
      <c r="X420" s="771"/>
      <c r="Y420" s="772"/>
    </row>
    <row r="421">
      <c r="X421" s="771"/>
      <c r="Y421" s="772"/>
    </row>
    <row r="422">
      <c r="X422" s="771"/>
      <c r="Y422" s="772"/>
    </row>
    <row r="423">
      <c r="X423" s="771"/>
      <c r="Y423" s="772"/>
    </row>
    <row r="424">
      <c r="X424" s="771"/>
      <c r="Y424" s="772"/>
    </row>
    <row r="425">
      <c r="X425" s="771"/>
      <c r="Y425" s="772"/>
    </row>
    <row r="426">
      <c r="X426" s="771"/>
      <c r="Y426" s="772"/>
    </row>
    <row r="427">
      <c r="X427" s="771"/>
      <c r="Y427" s="772"/>
    </row>
    <row r="428">
      <c r="X428" s="771"/>
      <c r="Y428" s="772"/>
    </row>
    <row r="429">
      <c r="X429" s="771"/>
      <c r="Y429" s="772"/>
    </row>
    <row r="430">
      <c r="X430" s="771"/>
      <c r="Y430" s="772"/>
    </row>
    <row r="431">
      <c r="X431" s="771"/>
      <c r="Y431" s="772"/>
    </row>
    <row r="432">
      <c r="X432" s="771"/>
      <c r="Y432" s="772"/>
    </row>
    <row r="433">
      <c r="X433" s="771"/>
      <c r="Y433" s="772"/>
    </row>
    <row r="434">
      <c r="X434" s="771"/>
      <c r="Y434" s="772"/>
    </row>
    <row r="435">
      <c r="X435" s="771"/>
      <c r="Y435" s="772"/>
    </row>
    <row r="436">
      <c r="X436" s="771"/>
      <c r="Y436" s="772"/>
    </row>
    <row r="437">
      <c r="X437" s="771"/>
      <c r="Y437" s="772"/>
    </row>
    <row r="438">
      <c r="X438" s="771"/>
      <c r="Y438" s="772"/>
    </row>
    <row r="439">
      <c r="X439" s="771"/>
      <c r="Y439" s="772"/>
    </row>
    <row r="440">
      <c r="X440" s="771"/>
      <c r="Y440" s="772"/>
    </row>
    <row r="441">
      <c r="X441" s="771"/>
      <c r="Y441" s="772"/>
    </row>
    <row r="442">
      <c r="X442" s="771"/>
      <c r="Y442" s="772"/>
    </row>
    <row r="443">
      <c r="X443" s="771"/>
      <c r="Y443" s="772"/>
    </row>
    <row r="444">
      <c r="X444" s="771"/>
      <c r="Y444" s="772"/>
    </row>
    <row r="445">
      <c r="X445" s="771"/>
      <c r="Y445" s="772"/>
    </row>
    <row r="446">
      <c r="X446" s="771"/>
      <c r="Y446" s="772"/>
    </row>
    <row r="447">
      <c r="X447" s="771"/>
      <c r="Y447" s="772"/>
    </row>
    <row r="448">
      <c r="X448" s="771"/>
      <c r="Y448" s="772"/>
    </row>
    <row r="449">
      <c r="X449" s="771"/>
      <c r="Y449" s="772"/>
    </row>
    <row r="450">
      <c r="X450" s="771"/>
      <c r="Y450" s="772"/>
    </row>
    <row r="451">
      <c r="X451" s="771"/>
      <c r="Y451" s="772"/>
    </row>
    <row r="452">
      <c r="X452" s="771"/>
      <c r="Y452" s="772"/>
    </row>
    <row r="453">
      <c r="X453" s="771"/>
      <c r="Y453" s="772"/>
    </row>
    <row r="454">
      <c r="X454" s="771"/>
      <c r="Y454" s="772"/>
    </row>
    <row r="455">
      <c r="X455" s="771"/>
      <c r="Y455" s="772"/>
    </row>
    <row r="456">
      <c r="X456" s="771"/>
      <c r="Y456" s="772"/>
    </row>
    <row r="457">
      <c r="X457" s="771"/>
      <c r="Y457" s="772"/>
    </row>
    <row r="458">
      <c r="X458" s="771"/>
      <c r="Y458" s="772"/>
    </row>
    <row r="459">
      <c r="X459" s="771"/>
      <c r="Y459" s="772"/>
    </row>
    <row r="460">
      <c r="X460" s="771"/>
      <c r="Y460" s="772"/>
    </row>
    <row r="461">
      <c r="X461" s="771"/>
      <c r="Y461" s="772"/>
    </row>
    <row r="462">
      <c r="X462" s="771"/>
      <c r="Y462" s="772"/>
    </row>
    <row r="463">
      <c r="X463" s="771"/>
      <c r="Y463" s="772"/>
    </row>
    <row r="464">
      <c r="X464" s="771"/>
      <c r="Y464" s="772"/>
    </row>
    <row r="465">
      <c r="X465" s="771"/>
      <c r="Y465" s="772"/>
    </row>
    <row r="466">
      <c r="X466" s="771"/>
      <c r="Y466" s="772"/>
    </row>
    <row r="467">
      <c r="X467" s="771"/>
      <c r="Y467" s="772"/>
    </row>
    <row r="468">
      <c r="X468" s="771"/>
      <c r="Y468" s="772"/>
    </row>
    <row r="469">
      <c r="X469" s="771"/>
      <c r="Y469" s="772"/>
    </row>
    <row r="470">
      <c r="X470" s="771"/>
      <c r="Y470" s="772"/>
    </row>
    <row r="471">
      <c r="X471" s="771"/>
      <c r="Y471" s="772"/>
    </row>
    <row r="472">
      <c r="X472" s="771"/>
      <c r="Y472" s="772"/>
    </row>
    <row r="473">
      <c r="X473" s="771"/>
      <c r="Y473" s="772"/>
    </row>
    <row r="474">
      <c r="X474" s="771"/>
      <c r="Y474" s="772"/>
    </row>
    <row r="475">
      <c r="X475" s="771"/>
      <c r="Y475" s="772"/>
    </row>
    <row r="476">
      <c r="X476" s="771"/>
      <c r="Y476" s="772"/>
    </row>
    <row r="477">
      <c r="X477" s="771"/>
      <c r="Y477" s="772"/>
    </row>
    <row r="478">
      <c r="X478" s="771"/>
      <c r="Y478" s="772"/>
    </row>
    <row r="479">
      <c r="X479" s="771"/>
      <c r="Y479" s="772"/>
    </row>
    <row r="480">
      <c r="X480" s="771"/>
      <c r="Y480" s="772"/>
    </row>
    <row r="481">
      <c r="X481" s="771"/>
      <c r="Y481" s="772"/>
    </row>
    <row r="482">
      <c r="X482" s="771"/>
      <c r="Y482" s="772"/>
    </row>
    <row r="483">
      <c r="X483" s="771"/>
      <c r="Y483" s="772"/>
    </row>
    <row r="484">
      <c r="X484" s="771"/>
      <c r="Y484" s="772"/>
    </row>
    <row r="485">
      <c r="X485" s="771"/>
      <c r="Y485" s="772"/>
    </row>
    <row r="486">
      <c r="X486" s="771"/>
      <c r="Y486" s="772"/>
    </row>
    <row r="487">
      <c r="X487" s="771"/>
      <c r="Y487" s="772"/>
    </row>
    <row r="488">
      <c r="X488" s="771"/>
      <c r="Y488" s="772"/>
    </row>
    <row r="489">
      <c r="X489" s="771"/>
      <c r="Y489" s="772"/>
    </row>
    <row r="490">
      <c r="X490" s="771"/>
      <c r="Y490" s="772"/>
    </row>
    <row r="491">
      <c r="X491" s="771"/>
      <c r="Y491" s="772"/>
    </row>
    <row r="492">
      <c r="X492" s="771"/>
      <c r="Y492" s="772"/>
    </row>
    <row r="493">
      <c r="X493" s="771"/>
      <c r="Y493" s="772"/>
    </row>
    <row r="494">
      <c r="X494" s="771"/>
      <c r="Y494" s="772"/>
    </row>
    <row r="495">
      <c r="X495" s="771"/>
      <c r="Y495" s="772"/>
    </row>
    <row r="496">
      <c r="X496" s="771"/>
      <c r="Y496" s="772"/>
    </row>
    <row r="497">
      <c r="X497" s="771"/>
      <c r="Y497" s="772"/>
    </row>
    <row r="498">
      <c r="X498" s="771"/>
      <c r="Y498" s="772"/>
    </row>
    <row r="499">
      <c r="X499" s="771"/>
      <c r="Y499" s="772"/>
    </row>
    <row r="500">
      <c r="X500" s="771"/>
      <c r="Y500" s="772"/>
    </row>
    <row r="501">
      <c r="X501" s="771"/>
      <c r="Y501" s="772"/>
    </row>
    <row r="502">
      <c r="X502" s="771"/>
      <c r="Y502" s="772"/>
    </row>
    <row r="503">
      <c r="X503" s="771"/>
      <c r="Y503" s="772"/>
    </row>
    <row r="504">
      <c r="X504" s="771"/>
      <c r="Y504" s="772"/>
    </row>
    <row r="505">
      <c r="X505" s="771"/>
      <c r="Y505" s="772"/>
    </row>
    <row r="506">
      <c r="X506" s="771"/>
      <c r="Y506" s="772"/>
    </row>
    <row r="507">
      <c r="X507" s="771"/>
      <c r="Y507" s="772"/>
    </row>
    <row r="508">
      <c r="X508" s="771"/>
      <c r="Y508" s="772"/>
    </row>
    <row r="509">
      <c r="X509" s="771"/>
      <c r="Y509" s="772"/>
    </row>
    <row r="510">
      <c r="X510" s="771"/>
      <c r="Y510" s="772"/>
    </row>
    <row r="511">
      <c r="X511" s="771"/>
      <c r="Y511" s="772"/>
    </row>
    <row r="512">
      <c r="X512" s="771"/>
      <c r="Y512" s="772"/>
    </row>
    <row r="513">
      <c r="X513" s="771"/>
      <c r="Y513" s="772"/>
    </row>
    <row r="514">
      <c r="X514" s="771"/>
      <c r="Y514" s="772"/>
    </row>
    <row r="515">
      <c r="X515" s="771"/>
      <c r="Y515" s="772"/>
    </row>
    <row r="516">
      <c r="X516" s="771"/>
      <c r="Y516" s="772"/>
    </row>
    <row r="517">
      <c r="X517" s="771"/>
      <c r="Y517" s="772"/>
    </row>
    <row r="518">
      <c r="X518" s="771"/>
      <c r="Y518" s="772"/>
    </row>
    <row r="519">
      <c r="X519" s="771"/>
      <c r="Y519" s="772"/>
    </row>
    <row r="520">
      <c r="X520" s="771"/>
      <c r="Y520" s="772"/>
    </row>
    <row r="521">
      <c r="X521" s="771"/>
      <c r="Y521" s="772"/>
    </row>
    <row r="522">
      <c r="X522" s="771"/>
      <c r="Y522" s="772"/>
    </row>
    <row r="523">
      <c r="X523" s="771"/>
      <c r="Y523" s="772"/>
    </row>
    <row r="524">
      <c r="X524" s="771"/>
      <c r="Y524" s="772"/>
    </row>
    <row r="525">
      <c r="X525" s="771"/>
      <c r="Y525" s="772"/>
    </row>
    <row r="526">
      <c r="X526" s="771"/>
      <c r="Y526" s="772"/>
    </row>
    <row r="527">
      <c r="X527" s="771"/>
      <c r="Y527" s="772"/>
    </row>
    <row r="528">
      <c r="X528" s="771"/>
      <c r="Y528" s="772"/>
    </row>
    <row r="529">
      <c r="X529" s="771"/>
      <c r="Y529" s="772"/>
    </row>
    <row r="530">
      <c r="X530" s="771"/>
      <c r="Y530" s="772"/>
    </row>
    <row r="531">
      <c r="X531" s="771"/>
      <c r="Y531" s="772"/>
    </row>
    <row r="532">
      <c r="X532" s="771"/>
      <c r="Y532" s="772"/>
    </row>
    <row r="533">
      <c r="X533" s="771"/>
      <c r="Y533" s="772"/>
    </row>
    <row r="534">
      <c r="X534" s="771"/>
      <c r="Y534" s="772"/>
    </row>
    <row r="535">
      <c r="X535" s="771"/>
      <c r="Y535" s="772"/>
    </row>
    <row r="536">
      <c r="X536" s="771"/>
      <c r="Y536" s="772"/>
    </row>
    <row r="537">
      <c r="X537" s="771"/>
      <c r="Y537" s="772"/>
    </row>
    <row r="538">
      <c r="X538" s="771"/>
      <c r="Y538" s="772"/>
    </row>
    <row r="539">
      <c r="X539" s="771"/>
      <c r="Y539" s="772"/>
    </row>
    <row r="540">
      <c r="X540" s="771"/>
      <c r="Y540" s="772"/>
    </row>
    <row r="541">
      <c r="X541" s="771"/>
      <c r="Y541" s="772"/>
    </row>
    <row r="542">
      <c r="X542" s="771"/>
      <c r="Y542" s="772"/>
    </row>
    <row r="543">
      <c r="X543" s="771"/>
      <c r="Y543" s="772"/>
    </row>
    <row r="544">
      <c r="X544" s="771"/>
      <c r="Y544" s="772"/>
    </row>
    <row r="545">
      <c r="X545" s="771"/>
      <c r="Y545" s="772"/>
    </row>
    <row r="546">
      <c r="X546" s="771"/>
      <c r="Y546" s="772"/>
    </row>
    <row r="547">
      <c r="X547" s="771"/>
      <c r="Y547" s="772"/>
    </row>
    <row r="548">
      <c r="X548" s="771"/>
      <c r="Y548" s="772"/>
    </row>
    <row r="549">
      <c r="X549" s="771"/>
      <c r="Y549" s="772"/>
    </row>
    <row r="550">
      <c r="X550" s="771"/>
      <c r="Y550" s="772"/>
    </row>
    <row r="551">
      <c r="X551" s="771"/>
      <c r="Y551" s="772"/>
    </row>
    <row r="552">
      <c r="X552" s="771"/>
      <c r="Y552" s="772"/>
    </row>
    <row r="553">
      <c r="X553" s="771"/>
      <c r="Y553" s="772"/>
    </row>
    <row r="554">
      <c r="X554" s="771"/>
      <c r="Y554" s="772"/>
    </row>
    <row r="555">
      <c r="X555" s="771"/>
      <c r="Y555" s="772"/>
    </row>
    <row r="556">
      <c r="X556" s="771"/>
      <c r="Y556" s="772"/>
    </row>
    <row r="557">
      <c r="X557" s="771"/>
      <c r="Y557" s="772"/>
    </row>
    <row r="558">
      <c r="X558" s="771"/>
      <c r="Y558" s="772"/>
    </row>
    <row r="559">
      <c r="X559" s="771"/>
      <c r="Y559" s="772"/>
    </row>
    <row r="560">
      <c r="X560" s="771"/>
      <c r="Y560" s="772"/>
    </row>
    <row r="561">
      <c r="X561" s="771"/>
      <c r="Y561" s="772"/>
    </row>
    <row r="562">
      <c r="X562" s="771"/>
      <c r="Y562" s="772"/>
    </row>
    <row r="563">
      <c r="X563" s="771"/>
      <c r="Y563" s="772"/>
    </row>
    <row r="564">
      <c r="X564" s="771"/>
      <c r="Y564" s="772"/>
    </row>
    <row r="565">
      <c r="X565" s="771"/>
      <c r="Y565" s="772"/>
    </row>
    <row r="566">
      <c r="X566" s="771"/>
      <c r="Y566" s="772"/>
    </row>
    <row r="567">
      <c r="X567" s="771"/>
      <c r="Y567" s="772"/>
    </row>
    <row r="568">
      <c r="X568" s="771"/>
      <c r="Y568" s="772"/>
    </row>
    <row r="569">
      <c r="X569" s="771"/>
      <c r="Y569" s="772"/>
    </row>
    <row r="570">
      <c r="X570" s="771"/>
      <c r="Y570" s="772"/>
    </row>
    <row r="571">
      <c r="X571" s="771"/>
      <c r="Y571" s="772"/>
    </row>
    <row r="572">
      <c r="X572" s="771"/>
      <c r="Y572" s="772"/>
    </row>
    <row r="573">
      <c r="X573" s="771"/>
      <c r="Y573" s="772"/>
    </row>
    <row r="574">
      <c r="X574" s="771"/>
      <c r="Y574" s="772"/>
    </row>
    <row r="575">
      <c r="X575" s="771"/>
      <c r="Y575" s="772"/>
    </row>
    <row r="576">
      <c r="X576" s="771"/>
      <c r="Y576" s="772"/>
    </row>
    <row r="577">
      <c r="X577" s="771"/>
      <c r="Y577" s="772"/>
    </row>
    <row r="578">
      <c r="X578" s="771"/>
      <c r="Y578" s="772"/>
    </row>
    <row r="579">
      <c r="X579" s="771"/>
      <c r="Y579" s="772"/>
    </row>
    <row r="580">
      <c r="X580" s="771"/>
      <c r="Y580" s="772"/>
    </row>
    <row r="581">
      <c r="X581" s="771"/>
      <c r="Y581" s="772"/>
    </row>
    <row r="582">
      <c r="X582" s="771"/>
      <c r="Y582" s="772"/>
    </row>
    <row r="583">
      <c r="X583" s="771"/>
      <c r="Y583" s="772"/>
    </row>
    <row r="584">
      <c r="X584" s="771"/>
      <c r="Y584" s="772"/>
    </row>
    <row r="585">
      <c r="X585" s="771"/>
      <c r="Y585" s="772"/>
    </row>
    <row r="586">
      <c r="X586" s="771"/>
      <c r="Y586" s="772"/>
    </row>
    <row r="587">
      <c r="X587" s="771"/>
      <c r="Y587" s="772"/>
    </row>
    <row r="588">
      <c r="X588" s="771"/>
      <c r="Y588" s="772"/>
    </row>
    <row r="589">
      <c r="X589" s="771"/>
      <c r="Y589" s="772"/>
    </row>
    <row r="590">
      <c r="X590" s="771"/>
      <c r="Y590" s="772"/>
    </row>
    <row r="591">
      <c r="X591" s="771"/>
      <c r="Y591" s="772"/>
    </row>
    <row r="592">
      <c r="X592" s="771"/>
      <c r="Y592" s="772"/>
    </row>
    <row r="593">
      <c r="X593" s="771"/>
      <c r="Y593" s="772"/>
    </row>
    <row r="594">
      <c r="X594" s="771"/>
      <c r="Y594" s="772"/>
    </row>
    <row r="595">
      <c r="X595" s="771"/>
      <c r="Y595" s="772"/>
    </row>
    <row r="596">
      <c r="X596" s="771"/>
      <c r="Y596" s="772"/>
    </row>
    <row r="597">
      <c r="X597" s="771"/>
      <c r="Y597" s="772"/>
    </row>
    <row r="598">
      <c r="X598" s="771"/>
      <c r="Y598" s="772"/>
    </row>
    <row r="599">
      <c r="X599" s="771"/>
      <c r="Y599" s="772"/>
    </row>
    <row r="600">
      <c r="X600" s="771"/>
      <c r="Y600" s="772"/>
    </row>
    <row r="601">
      <c r="X601" s="771"/>
      <c r="Y601" s="772"/>
    </row>
    <row r="602">
      <c r="X602" s="771"/>
      <c r="Y602" s="772"/>
    </row>
    <row r="603">
      <c r="X603" s="771"/>
      <c r="Y603" s="772"/>
    </row>
    <row r="604">
      <c r="X604" s="771"/>
      <c r="Y604" s="772"/>
    </row>
    <row r="605">
      <c r="X605" s="771"/>
      <c r="Y605" s="772"/>
    </row>
    <row r="606">
      <c r="X606" s="771"/>
      <c r="Y606" s="772"/>
    </row>
    <row r="607">
      <c r="X607" s="771"/>
      <c r="Y607" s="772"/>
    </row>
    <row r="608">
      <c r="X608" s="771"/>
      <c r="Y608" s="772"/>
    </row>
    <row r="609">
      <c r="X609" s="771"/>
      <c r="Y609" s="772"/>
    </row>
    <row r="610">
      <c r="X610" s="771"/>
      <c r="Y610" s="772"/>
    </row>
    <row r="611">
      <c r="X611" s="771"/>
      <c r="Y611" s="772"/>
    </row>
    <row r="612">
      <c r="X612" s="771"/>
      <c r="Y612" s="772"/>
    </row>
    <row r="613">
      <c r="X613" s="771"/>
      <c r="Y613" s="772"/>
    </row>
    <row r="614">
      <c r="X614" s="771"/>
      <c r="Y614" s="772"/>
    </row>
    <row r="615">
      <c r="X615" s="771"/>
      <c r="Y615" s="772"/>
    </row>
    <row r="616">
      <c r="X616" s="771"/>
      <c r="Y616" s="772"/>
    </row>
    <row r="617">
      <c r="X617" s="771"/>
      <c r="Y617" s="772"/>
    </row>
    <row r="618">
      <c r="X618" s="771"/>
      <c r="Y618" s="772"/>
    </row>
    <row r="619">
      <c r="X619" s="771"/>
      <c r="Y619" s="772"/>
    </row>
    <row r="620">
      <c r="X620" s="771"/>
      <c r="Y620" s="772"/>
    </row>
    <row r="621">
      <c r="X621" s="771"/>
      <c r="Y621" s="772"/>
    </row>
    <row r="622">
      <c r="X622" s="771"/>
      <c r="Y622" s="772"/>
    </row>
    <row r="623">
      <c r="X623" s="771"/>
      <c r="Y623" s="772"/>
    </row>
    <row r="624">
      <c r="X624" s="771"/>
      <c r="Y624" s="772"/>
    </row>
    <row r="625">
      <c r="X625" s="771"/>
      <c r="Y625" s="772"/>
    </row>
    <row r="626">
      <c r="X626" s="771"/>
      <c r="Y626" s="772"/>
    </row>
    <row r="627">
      <c r="X627" s="771"/>
      <c r="Y627" s="772"/>
    </row>
    <row r="628">
      <c r="X628" s="771"/>
      <c r="Y628" s="772"/>
    </row>
    <row r="629">
      <c r="X629" s="771"/>
      <c r="Y629" s="772"/>
    </row>
    <row r="630">
      <c r="X630" s="771"/>
      <c r="Y630" s="772"/>
    </row>
    <row r="631">
      <c r="X631" s="771"/>
      <c r="Y631" s="772"/>
    </row>
    <row r="632">
      <c r="X632" s="771"/>
      <c r="Y632" s="772"/>
    </row>
    <row r="633">
      <c r="X633" s="771"/>
      <c r="Y633" s="772"/>
    </row>
    <row r="634">
      <c r="X634" s="771"/>
      <c r="Y634" s="772"/>
    </row>
    <row r="635">
      <c r="X635" s="771"/>
      <c r="Y635" s="772"/>
    </row>
    <row r="636">
      <c r="X636" s="771"/>
      <c r="Y636" s="772"/>
    </row>
    <row r="637">
      <c r="X637" s="771"/>
      <c r="Y637" s="772"/>
    </row>
    <row r="638">
      <c r="X638" s="771"/>
      <c r="Y638" s="772"/>
    </row>
    <row r="639">
      <c r="X639" s="771"/>
      <c r="Y639" s="772"/>
    </row>
    <row r="640">
      <c r="X640" s="771"/>
      <c r="Y640" s="772"/>
    </row>
    <row r="641">
      <c r="X641" s="771"/>
      <c r="Y641" s="772"/>
    </row>
    <row r="642">
      <c r="X642" s="771"/>
      <c r="Y642" s="772"/>
    </row>
    <row r="643">
      <c r="X643" s="771"/>
      <c r="Y643" s="772"/>
    </row>
    <row r="644">
      <c r="X644" s="771"/>
      <c r="Y644" s="772"/>
    </row>
    <row r="645">
      <c r="X645" s="771"/>
      <c r="Y645" s="772"/>
    </row>
    <row r="646">
      <c r="X646" s="771"/>
      <c r="Y646" s="772"/>
    </row>
    <row r="647">
      <c r="X647" s="771"/>
      <c r="Y647" s="772"/>
    </row>
    <row r="648">
      <c r="X648" s="771"/>
      <c r="Y648" s="772"/>
    </row>
    <row r="649">
      <c r="X649" s="771"/>
      <c r="Y649" s="772"/>
    </row>
    <row r="650">
      <c r="X650" s="771"/>
      <c r="Y650" s="772"/>
    </row>
    <row r="651">
      <c r="X651" s="771"/>
      <c r="Y651" s="772"/>
    </row>
    <row r="652">
      <c r="X652" s="771"/>
      <c r="Y652" s="772"/>
    </row>
    <row r="653">
      <c r="X653" s="771"/>
      <c r="Y653" s="772"/>
    </row>
    <row r="654">
      <c r="X654" s="771"/>
      <c r="Y654" s="772"/>
    </row>
    <row r="655">
      <c r="X655" s="771"/>
      <c r="Y655" s="772"/>
    </row>
    <row r="656">
      <c r="X656" s="771"/>
      <c r="Y656" s="772"/>
    </row>
    <row r="657">
      <c r="X657" s="771"/>
      <c r="Y657" s="772"/>
    </row>
    <row r="658">
      <c r="X658" s="771"/>
      <c r="Y658" s="772"/>
    </row>
    <row r="659">
      <c r="X659" s="771"/>
      <c r="Y659" s="772"/>
    </row>
    <row r="660">
      <c r="X660" s="771"/>
      <c r="Y660" s="772"/>
    </row>
    <row r="661">
      <c r="X661" s="771"/>
      <c r="Y661" s="772"/>
    </row>
    <row r="662">
      <c r="X662" s="771"/>
      <c r="Y662" s="772"/>
    </row>
    <row r="663">
      <c r="X663" s="771"/>
      <c r="Y663" s="772"/>
    </row>
    <row r="664">
      <c r="X664" s="771"/>
      <c r="Y664" s="772"/>
    </row>
    <row r="665">
      <c r="X665" s="771"/>
      <c r="Y665" s="772"/>
    </row>
    <row r="666">
      <c r="X666" s="771"/>
      <c r="Y666" s="772"/>
    </row>
    <row r="667">
      <c r="X667" s="771"/>
      <c r="Y667" s="772"/>
    </row>
    <row r="668">
      <c r="X668" s="771"/>
      <c r="Y668" s="772"/>
    </row>
    <row r="669">
      <c r="X669" s="771"/>
      <c r="Y669" s="772"/>
    </row>
    <row r="670">
      <c r="X670" s="771"/>
      <c r="Y670" s="772"/>
    </row>
    <row r="671">
      <c r="X671" s="771"/>
      <c r="Y671" s="772"/>
    </row>
    <row r="672">
      <c r="X672" s="771"/>
      <c r="Y672" s="772"/>
    </row>
    <row r="673">
      <c r="X673" s="771"/>
      <c r="Y673" s="772"/>
    </row>
    <row r="674">
      <c r="X674" s="771"/>
      <c r="Y674" s="772"/>
    </row>
    <row r="675">
      <c r="X675" s="771"/>
      <c r="Y675" s="772"/>
    </row>
    <row r="676">
      <c r="X676" s="771"/>
      <c r="Y676" s="772"/>
    </row>
    <row r="677">
      <c r="X677" s="771"/>
      <c r="Y677" s="772"/>
    </row>
    <row r="678">
      <c r="X678" s="771"/>
      <c r="Y678" s="772"/>
    </row>
    <row r="679">
      <c r="X679" s="771"/>
      <c r="Y679" s="772"/>
    </row>
    <row r="680">
      <c r="X680" s="771"/>
      <c r="Y680" s="772"/>
    </row>
    <row r="681">
      <c r="X681" s="771"/>
      <c r="Y681" s="772"/>
    </row>
    <row r="682">
      <c r="X682" s="771"/>
      <c r="Y682" s="772"/>
    </row>
    <row r="683">
      <c r="X683" s="771"/>
      <c r="Y683" s="772"/>
    </row>
    <row r="684">
      <c r="X684" s="771"/>
      <c r="Y684" s="772"/>
    </row>
    <row r="685">
      <c r="X685" s="771"/>
      <c r="Y685" s="772"/>
    </row>
    <row r="686">
      <c r="X686" s="771"/>
      <c r="Y686" s="772"/>
    </row>
    <row r="687">
      <c r="X687" s="771"/>
      <c r="Y687" s="772"/>
    </row>
    <row r="688">
      <c r="X688" s="771"/>
      <c r="Y688" s="772"/>
    </row>
    <row r="689">
      <c r="X689" s="771"/>
      <c r="Y689" s="772"/>
    </row>
    <row r="690">
      <c r="X690" s="771"/>
      <c r="Y690" s="772"/>
    </row>
    <row r="691">
      <c r="X691" s="771"/>
      <c r="Y691" s="772"/>
    </row>
    <row r="692">
      <c r="X692" s="771"/>
      <c r="Y692" s="772"/>
    </row>
    <row r="693">
      <c r="X693" s="771"/>
      <c r="Y693" s="772"/>
    </row>
    <row r="694">
      <c r="X694" s="771"/>
      <c r="Y694" s="772"/>
    </row>
    <row r="695">
      <c r="X695" s="771"/>
      <c r="Y695" s="772"/>
    </row>
    <row r="696">
      <c r="X696" s="771"/>
      <c r="Y696" s="772"/>
    </row>
    <row r="697">
      <c r="X697" s="771"/>
      <c r="Y697" s="772"/>
    </row>
    <row r="698">
      <c r="X698" s="771"/>
      <c r="Y698" s="772"/>
    </row>
    <row r="699">
      <c r="X699" s="771"/>
      <c r="Y699" s="772"/>
    </row>
    <row r="700">
      <c r="X700" s="771"/>
      <c r="Y700" s="772"/>
    </row>
    <row r="701">
      <c r="X701" s="771"/>
      <c r="Y701" s="772"/>
    </row>
    <row r="702">
      <c r="X702" s="771"/>
      <c r="Y702" s="772"/>
    </row>
    <row r="703">
      <c r="X703" s="771"/>
      <c r="Y703" s="772"/>
    </row>
    <row r="704">
      <c r="X704" s="771"/>
      <c r="Y704" s="772"/>
    </row>
    <row r="705">
      <c r="X705" s="771"/>
      <c r="Y705" s="772"/>
    </row>
    <row r="706">
      <c r="X706" s="771"/>
      <c r="Y706" s="772"/>
    </row>
    <row r="707">
      <c r="X707" s="771"/>
      <c r="Y707" s="772"/>
    </row>
    <row r="708">
      <c r="X708" s="771"/>
      <c r="Y708" s="772"/>
    </row>
    <row r="709">
      <c r="X709" s="771"/>
      <c r="Y709" s="772"/>
    </row>
    <row r="710">
      <c r="X710" s="771"/>
      <c r="Y710" s="772"/>
    </row>
    <row r="711">
      <c r="X711" s="771"/>
      <c r="Y711" s="772"/>
    </row>
    <row r="712">
      <c r="X712" s="771"/>
      <c r="Y712" s="772"/>
    </row>
    <row r="713">
      <c r="X713" s="771"/>
      <c r="Y713" s="772"/>
    </row>
    <row r="714">
      <c r="X714" s="771"/>
      <c r="Y714" s="772"/>
    </row>
    <row r="715">
      <c r="X715" s="771"/>
      <c r="Y715" s="772"/>
    </row>
    <row r="716">
      <c r="X716" s="771"/>
      <c r="Y716" s="772"/>
    </row>
    <row r="717">
      <c r="X717" s="771"/>
      <c r="Y717" s="772"/>
    </row>
    <row r="718">
      <c r="X718" s="771"/>
      <c r="Y718" s="772"/>
    </row>
    <row r="719">
      <c r="X719" s="771"/>
      <c r="Y719" s="772"/>
    </row>
    <row r="720">
      <c r="X720" s="771"/>
      <c r="Y720" s="772"/>
    </row>
    <row r="721">
      <c r="X721" s="771"/>
      <c r="Y721" s="772"/>
    </row>
    <row r="722">
      <c r="X722" s="771"/>
      <c r="Y722" s="772"/>
    </row>
    <row r="723">
      <c r="X723" s="771"/>
      <c r="Y723" s="772"/>
    </row>
    <row r="724">
      <c r="X724" s="771"/>
      <c r="Y724" s="772"/>
    </row>
    <row r="725">
      <c r="X725" s="771"/>
      <c r="Y725" s="772"/>
    </row>
    <row r="726">
      <c r="X726" s="771"/>
      <c r="Y726" s="772"/>
    </row>
    <row r="727">
      <c r="X727" s="771"/>
      <c r="Y727" s="772"/>
    </row>
    <row r="728">
      <c r="X728" s="771"/>
      <c r="Y728" s="772"/>
    </row>
    <row r="729">
      <c r="X729" s="771"/>
      <c r="Y729" s="772"/>
    </row>
    <row r="730">
      <c r="X730" s="771"/>
      <c r="Y730" s="772"/>
    </row>
    <row r="731">
      <c r="X731" s="771"/>
      <c r="Y731" s="772"/>
    </row>
    <row r="732">
      <c r="X732" s="771"/>
      <c r="Y732" s="772"/>
    </row>
    <row r="733">
      <c r="X733" s="771"/>
      <c r="Y733" s="772"/>
    </row>
    <row r="734">
      <c r="X734" s="771"/>
      <c r="Y734" s="772"/>
    </row>
    <row r="735">
      <c r="X735" s="771"/>
      <c r="Y735" s="772"/>
    </row>
    <row r="736">
      <c r="X736" s="771"/>
      <c r="Y736" s="772"/>
    </row>
    <row r="737">
      <c r="X737" s="771"/>
      <c r="Y737" s="772"/>
    </row>
    <row r="738">
      <c r="X738" s="771"/>
      <c r="Y738" s="772"/>
    </row>
    <row r="739">
      <c r="X739" s="771"/>
      <c r="Y739" s="772"/>
    </row>
    <row r="740">
      <c r="X740" s="771"/>
      <c r="Y740" s="772"/>
    </row>
    <row r="741">
      <c r="X741" s="771"/>
      <c r="Y741" s="772"/>
    </row>
    <row r="742">
      <c r="X742" s="771"/>
      <c r="Y742" s="772"/>
    </row>
    <row r="743">
      <c r="X743" s="771"/>
      <c r="Y743" s="772"/>
    </row>
    <row r="744">
      <c r="X744" s="771"/>
      <c r="Y744" s="772"/>
    </row>
    <row r="745">
      <c r="X745" s="771"/>
      <c r="Y745" s="772"/>
    </row>
    <row r="746">
      <c r="X746" s="771"/>
      <c r="Y746" s="772"/>
    </row>
    <row r="747">
      <c r="X747" s="771"/>
      <c r="Y747" s="772"/>
    </row>
    <row r="748">
      <c r="X748" s="771"/>
      <c r="Y748" s="772"/>
    </row>
    <row r="749">
      <c r="X749" s="771"/>
      <c r="Y749" s="772"/>
    </row>
    <row r="750">
      <c r="X750" s="771"/>
      <c r="Y750" s="772"/>
    </row>
    <row r="751">
      <c r="X751" s="771"/>
      <c r="Y751" s="772"/>
    </row>
    <row r="752">
      <c r="X752" s="771"/>
      <c r="Y752" s="772"/>
    </row>
    <row r="753">
      <c r="X753" s="771"/>
      <c r="Y753" s="772"/>
    </row>
    <row r="754">
      <c r="X754" s="771"/>
      <c r="Y754" s="772"/>
    </row>
    <row r="755">
      <c r="X755" s="771"/>
      <c r="Y755" s="772"/>
    </row>
    <row r="756">
      <c r="X756" s="771"/>
      <c r="Y756" s="772"/>
    </row>
    <row r="757">
      <c r="X757" s="771"/>
      <c r="Y757" s="772"/>
    </row>
    <row r="758">
      <c r="X758" s="771"/>
      <c r="Y758" s="772"/>
    </row>
    <row r="759">
      <c r="X759" s="771"/>
      <c r="Y759" s="772"/>
    </row>
    <row r="760">
      <c r="X760" s="771"/>
      <c r="Y760" s="772"/>
    </row>
    <row r="761">
      <c r="X761" s="771"/>
      <c r="Y761" s="772"/>
    </row>
    <row r="762">
      <c r="X762" s="771"/>
      <c r="Y762" s="772"/>
    </row>
    <row r="763">
      <c r="X763" s="771"/>
      <c r="Y763" s="772"/>
    </row>
    <row r="764">
      <c r="X764" s="771"/>
      <c r="Y764" s="772"/>
    </row>
    <row r="765">
      <c r="X765" s="771"/>
      <c r="Y765" s="772"/>
    </row>
    <row r="766">
      <c r="X766" s="771"/>
      <c r="Y766" s="772"/>
    </row>
    <row r="767">
      <c r="X767" s="771"/>
      <c r="Y767" s="772"/>
    </row>
    <row r="768">
      <c r="X768" s="771"/>
      <c r="Y768" s="772"/>
    </row>
    <row r="769">
      <c r="X769" s="771"/>
      <c r="Y769" s="772"/>
    </row>
    <row r="770">
      <c r="X770" s="771"/>
      <c r="Y770" s="772"/>
    </row>
    <row r="771">
      <c r="X771" s="771"/>
      <c r="Y771" s="772"/>
    </row>
    <row r="772">
      <c r="X772" s="771"/>
      <c r="Y772" s="772"/>
    </row>
    <row r="773">
      <c r="X773" s="771"/>
      <c r="Y773" s="772"/>
    </row>
    <row r="774">
      <c r="X774" s="771"/>
      <c r="Y774" s="772"/>
    </row>
    <row r="775">
      <c r="X775" s="771"/>
      <c r="Y775" s="772"/>
    </row>
    <row r="776">
      <c r="X776" s="771"/>
      <c r="Y776" s="772"/>
    </row>
    <row r="777">
      <c r="X777" s="771"/>
      <c r="Y777" s="772"/>
    </row>
    <row r="778">
      <c r="X778" s="771"/>
      <c r="Y778" s="772"/>
    </row>
    <row r="779">
      <c r="X779" s="771"/>
      <c r="Y779" s="772"/>
    </row>
    <row r="780">
      <c r="X780" s="771"/>
      <c r="Y780" s="772"/>
    </row>
    <row r="781">
      <c r="X781" s="771"/>
      <c r="Y781" s="772"/>
    </row>
    <row r="782">
      <c r="X782" s="771"/>
      <c r="Y782" s="772"/>
    </row>
    <row r="783">
      <c r="X783" s="771"/>
      <c r="Y783" s="772"/>
    </row>
    <row r="784">
      <c r="X784" s="771"/>
      <c r="Y784" s="772"/>
    </row>
    <row r="785">
      <c r="X785" s="771"/>
      <c r="Y785" s="772"/>
    </row>
    <row r="786">
      <c r="X786" s="771"/>
      <c r="Y786" s="772"/>
    </row>
    <row r="787">
      <c r="X787" s="771"/>
      <c r="Y787" s="772"/>
    </row>
    <row r="788">
      <c r="X788" s="771"/>
      <c r="Y788" s="772"/>
    </row>
    <row r="789">
      <c r="X789" s="771"/>
      <c r="Y789" s="772"/>
    </row>
    <row r="790">
      <c r="X790" s="771"/>
      <c r="Y790" s="772"/>
    </row>
    <row r="791">
      <c r="X791" s="771"/>
      <c r="Y791" s="772"/>
    </row>
    <row r="792">
      <c r="X792" s="771"/>
      <c r="Y792" s="772"/>
    </row>
    <row r="793">
      <c r="X793" s="771"/>
      <c r="Y793" s="772"/>
    </row>
    <row r="794">
      <c r="X794" s="771"/>
      <c r="Y794" s="772"/>
    </row>
    <row r="795">
      <c r="X795" s="771"/>
      <c r="Y795" s="772"/>
    </row>
    <row r="796">
      <c r="X796" s="771"/>
      <c r="Y796" s="772"/>
    </row>
    <row r="797">
      <c r="X797" s="771"/>
      <c r="Y797" s="772"/>
    </row>
    <row r="798">
      <c r="X798" s="771"/>
      <c r="Y798" s="772"/>
    </row>
    <row r="799">
      <c r="X799" s="771"/>
      <c r="Y799" s="772"/>
    </row>
    <row r="800">
      <c r="X800" s="771"/>
      <c r="Y800" s="772"/>
    </row>
    <row r="801">
      <c r="X801" s="771"/>
      <c r="Y801" s="772"/>
    </row>
    <row r="802">
      <c r="X802" s="771"/>
      <c r="Y802" s="772"/>
    </row>
    <row r="803">
      <c r="X803" s="771"/>
      <c r="Y803" s="772"/>
    </row>
    <row r="804">
      <c r="X804" s="771"/>
      <c r="Y804" s="772"/>
    </row>
    <row r="805">
      <c r="X805" s="771"/>
      <c r="Y805" s="772"/>
    </row>
    <row r="806">
      <c r="X806" s="771"/>
      <c r="Y806" s="772"/>
    </row>
    <row r="807">
      <c r="X807" s="771"/>
      <c r="Y807" s="772"/>
    </row>
    <row r="808">
      <c r="X808" s="771"/>
      <c r="Y808" s="772"/>
    </row>
    <row r="809">
      <c r="X809" s="771"/>
      <c r="Y809" s="772"/>
    </row>
    <row r="810">
      <c r="X810" s="771"/>
      <c r="Y810" s="772"/>
    </row>
    <row r="811">
      <c r="X811" s="771"/>
      <c r="Y811" s="772"/>
    </row>
    <row r="812">
      <c r="X812" s="771"/>
      <c r="Y812" s="772"/>
    </row>
    <row r="813">
      <c r="X813" s="771"/>
      <c r="Y813" s="772"/>
    </row>
    <row r="814">
      <c r="X814" s="771"/>
      <c r="Y814" s="772"/>
    </row>
    <row r="815">
      <c r="X815" s="771"/>
      <c r="Y815" s="772"/>
    </row>
    <row r="816">
      <c r="X816" s="771"/>
      <c r="Y816" s="772"/>
    </row>
    <row r="817">
      <c r="X817" s="771"/>
      <c r="Y817" s="772"/>
    </row>
    <row r="818">
      <c r="X818" s="771"/>
      <c r="Y818" s="772"/>
    </row>
    <row r="819">
      <c r="X819" s="771"/>
      <c r="Y819" s="772"/>
    </row>
    <row r="820">
      <c r="X820" s="771"/>
      <c r="Y820" s="772"/>
    </row>
    <row r="821">
      <c r="X821" s="771"/>
      <c r="Y821" s="772"/>
    </row>
    <row r="822">
      <c r="X822" s="771"/>
      <c r="Y822" s="772"/>
    </row>
    <row r="823">
      <c r="X823" s="771"/>
      <c r="Y823" s="772"/>
    </row>
    <row r="824">
      <c r="X824" s="771"/>
      <c r="Y824" s="772"/>
    </row>
    <row r="825">
      <c r="X825" s="771"/>
      <c r="Y825" s="772"/>
    </row>
    <row r="826">
      <c r="X826" s="771"/>
      <c r="Y826" s="772"/>
    </row>
    <row r="827">
      <c r="X827" s="771"/>
      <c r="Y827" s="772"/>
    </row>
    <row r="828">
      <c r="X828" s="771"/>
      <c r="Y828" s="772"/>
    </row>
    <row r="829">
      <c r="X829" s="771"/>
      <c r="Y829" s="772"/>
    </row>
    <row r="830">
      <c r="X830" s="771"/>
      <c r="Y830" s="772"/>
    </row>
    <row r="831">
      <c r="X831" s="771"/>
      <c r="Y831" s="772"/>
    </row>
    <row r="832">
      <c r="X832" s="771"/>
      <c r="Y832" s="772"/>
    </row>
    <row r="833">
      <c r="X833" s="771"/>
      <c r="Y833" s="772"/>
    </row>
    <row r="834">
      <c r="X834" s="771"/>
      <c r="Y834" s="772"/>
    </row>
    <row r="835">
      <c r="X835" s="771"/>
      <c r="Y835" s="772"/>
    </row>
    <row r="836">
      <c r="X836" s="771"/>
      <c r="Y836" s="772"/>
    </row>
    <row r="837">
      <c r="X837" s="771"/>
      <c r="Y837" s="772"/>
    </row>
    <row r="838">
      <c r="X838" s="771"/>
      <c r="Y838" s="772"/>
    </row>
    <row r="839">
      <c r="X839" s="771"/>
      <c r="Y839" s="772"/>
    </row>
    <row r="840">
      <c r="X840" s="771"/>
      <c r="Y840" s="772"/>
    </row>
    <row r="841">
      <c r="X841" s="771"/>
      <c r="Y841" s="772"/>
    </row>
    <row r="842">
      <c r="X842" s="771"/>
      <c r="Y842" s="772"/>
    </row>
    <row r="843">
      <c r="X843" s="771"/>
      <c r="Y843" s="772"/>
    </row>
    <row r="844">
      <c r="X844" s="771"/>
      <c r="Y844" s="772"/>
    </row>
    <row r="845">
      <c r="X845" s="771"/>
      <c r="Y845" s="772"/>
    </row>
    <row r="846">
      <c r="X846" s="771"/>
      <c r="Y846" s="772"/>
    </row>
    <row r="847">
      <c r="X847" s="771"/>
      <c r="Y847" s="772"/>
    </row>
    <row r="848">
      <c r="X848" s="771"/>
      <c r="Y848" s="772"/>
    </row>
    <row r="849">
      <c r="X849" s="771"/>
      <c r="Y849" s="772"/>
    </row>
    <row r="850">
      <c r="X850" s="771"/>
      <c r="Y850" s="772"/>
    </row>
    <row r="851">
      <c r="X851" s="771"/>
      <c r="Y851" s="772"/>
    </row>
    <row r="852">
      <c r="X852" s="771"/>
      <c r="Y852" s="772"/>
    </row>
    <row r="853">
      <c r="X853" s="771"/>
      <c r="Y853" s="772"/>
    </row>
    <row r="854">
      <c r="X854" s="771"/>
      <c r="Y854" s="772"/>
    </row>
    <row r="855">
      <c r="X855" s="771"/>
      <c r="Y855" s="772"/>
    </row>
    <row r="856">
      <c r="X856" s="771"/>
      <c r="Y856" s="772"/>
    </row>
    <row r="857">
      <c r="X857" s="771"/>
      <c r="Y857" s="772"/>
    </row>
    <row r="858">
      <c r="X858" s="771"/>
      <c r="Y858" s="772"/>
    </row>
    <row r="859">
      <c r="X859" s="771"/>
      <c r="Y859" s="772"/>
    </row>
    <row r="860">
      <c r="X860" s="771"/>
      <c r="Y860" s="772"/>
    </row>
    <row r="861">
      <c r="X861" s="771"/>
      <c r="Y861" s="772"/>
    </row>
    <row r="862">
      <c r="X862" s="771"/>
      <c r="Y862" s="772"/>
    </row>
    <row r="863">
      <c r="X863" s="771"/>
      <c r="Y863" s="772"/>
    </row>
    <row r="864">
      <c r="X864" s="771"/>
      <c r="Y864" s="772"/>
    </row>
    <row r="865">
      <c r="X865" s="771"/>
      <c r="Y865" s="772"/>
    </row>
    <row r="866">
      <c r="X866" s="771"/>
      <c r="Y866" s="772"/>
    </row>
    <row r="867">
      <c r="X867" s="771"/>
      <c r="Y867" s="772"/>
    </row>
    <row r="868">
      <c r="X868" s="771"/>
      <c r="Y868" s="772"/>
    </row>
    <row r="869">
      <c r="X869" s="771"/>
      <c r="Y869" s="772"/>
    </row>
    <row r="870">
      <c r="X870" s="771"/>
      <c r="Y870" s="772"/>
    </row>
    <row r="871">
      <c r="X871" s="771"/>
      <c r="Y871" s="772"/>
    </row>
    <row r="872">
      <c r="X872" s="771"/>
      <c r="Y872" s="772"/>
    </row>
    <row r="873">
      <c r="X873" s="771"/>
      <c r="Y873" s="772"/>
    </row>
    <row r="874">
      <c r="X874" s="771"/>
      <c r="Y874" s="772"/>
    </row>
    <row r="875">
      <c r="X875" s="771"/>
      <c r="Y875" s="772"/>
    </row>
    <row r="876">
      <c r="X876" s="771"/>
      <c r="Y876" s="772"/>
    </row>
    <row r="877">
      <c r="X877" s="771"/>
      <c r="Y877" s="772"/>
    </row>
    <row r="878">
      <c r="X878" s="771"/>
      <c r="Y878" s="772"/>
    </row>
    <row r="879">
      <c r="X879" s="771"/>
      <c r="Y879" s="772"/>
    </row>
    <row r="880">
      <c r="X880" s="771"/>
      <c r="Y880" s="772"/>
    </row>
    <row r="881">
      <c r="X881" s="771"/>
      <c r="Y881" s="772"/>
    </row>
    <row r="882">
      <c r="X882" s="771"/>
      <c r="Y882" s="772"/>
    </row>
    <row r="883">
      <c r="X883" s="771"/>
      <c r="Y883" s="772"/>
    </row>
    <row r="884">
      <c r="X884" s="771"/>
      <c r="Y884" s="772"/>
    </row>
    <row r="885">
      <c r="X885" s="771"/>
      <c r="Y885" s="772"/>
    </row>
    <row r="886">
      <c r="X886" s="771"/>
      <c r="Y886" s="772"/>
    </row>
    <row r="887">
      <c r="X887" s="771"/>
      <c r="Y887" s="772"/>
    </row>
    <row r="888">
      <c r="X888" s="771"/>
      <c r="Y888" s="772"/>
    </row>
    <row r="889">
      <c r="X889" s="771"/>
      <c r="Y889" s="772"/>
    </row>
    <row r="890">
      <c r="X890" s="771"/>
      <c r="Y890" s="772"/>
    </row>
    <row r="891">
      <c r="X891" s="771"/>
      <c r="Y891" s="772"/>
    </row>
    <row r="892">
      <c r="X892" s="771"/>
      <c r="Y892" s="772"/>
    </row>
    <row r="893">
      <c r="X893" s="771"/>
      <c r="Y893" s="772"/>
    </row>
    <row r="894">
      <c r="X894" s="771"/>
      <c r="Y894" s="772"/>
    </row>
    <row r="895">
      <c r="X895" s="771"/>
      <c r="Y895" s="772"/>
    </row>
    <row r="896">
      <c r="X896" s="771"/>
      <c r="Y896" s="772"/>
    </row>
    <row r="897">
      <c r="X897" s="771"/>
      <c r="Y897" s="772"/>
    </row>
    <row r="898">
      <c r="X898" s="771"/>
      <c r="Y898" s="772"/>
    </row>
    <row r="899">
      <c r="X899" s="771"/>
      <c r="Y899" s="772"/>
    </row>
    <row r="900">
      <c r="X900" s="771"/>
      <c r="Y900" s="772"/>
    </row>
    <row r="901">
      <c r="X901" s="771"/>
      <c r="Y901" s="772"/>
    </row>
    <row r="902">
      <c r="X902" s="771"/>
      <c r="Y902" s="772"/>
    </row>
    <row r="903">
      <c r="X903" s="771"/>
      <c r="Y903" s="772"/>
    </row>
    <row r="904">
      <c r="X904" s="771"/>
      <c r="Y904" s="772"/>
    </row>
    <row r="905">
      <c r="X905" s="771"/>
      <c r="Y905" s="772"/>
    </row>
    <row r="906">
      <c r="X906" s="771"/>
      <c r="Y906" s="772"/>
    </row>
    <row r="907">
      <c r="X907" s="771"/>
      <c r="Y907" s="772"/>
    </row>
    <row r="908">
      <c r="X908" s="771"/>
      <c r="Y908" s="772"/>
    </row>
    <row r="909">
      <c r="X909" s="771"/>
      <c r="Y909" s="772"/>
    </row>
    <row r="910">
      <c r="X910" s="771"/>
      <c r="Y910" s="772"/>
    </row>
    <row r="911">
      <c r="X911" s="771"/>
      <c r="Y911" s="772"/>
    </row>
    <row r="912">
      <c r="X912" s="771"/>
      <c r="Y912" s="772"/>
    </row>
    <row r="913">
      <c r="X913" s="771"/>
      <c r="Y913" s="772"/>
    </row>
    <row r="914">
      <c r="X914" s="771"/>
      <c r="Y914" s="772"/>
    </row>
    <row r="915">
      <c r="X915" s="771"/>
      <c r="Y915" s="772"/>
    </row>
    <row r="916">
      <c r="X916" s="771"/>
      <c r="Y916" s="772"/>
    </row>
    <row r="917">
      <c r="X917" s="771"/>
      <c r="Y917" s="772"/>
    </row>
    <row r="918">
      <c r="X918" s="771"/>
      <c r="Y918" s="772"/>
    </row>
    <row r="919">
      <c r="X919" s="771"/>
      <c r="Y919" s="772"/>
    </row>
    <row r="920">
      <c r="X920" s="771"/>
      <c r="Y920" s="772"/>
    </row>
    <row r="921">
      <c r="X921" s="771"/>
      <c r="Y921" s="772"/>
    </row>
    <row r="922">
      <c r="X922" s="771"/>
      <c r="Y922" s="772"/>
    </row>
    <row r="923">
      <c r="X923" s="771"/>
      <c r="Y923" s="772"/>
    </row>
    <row r="924">
      <c r="X924" s="771"/>
      <c r="Y924" s="772"/>
    </row>
    <row r="925">
      <c r="X925" s="771"/>
      <c r="Y925" s="772"/>
    </row>
    <row r="926">
      <c r="X926" s="771"/>
      <c r="Y926" s="772"/>
    </row>
    <row r="927">
      <c r="X927" s="771"/>
      <c r="Y927" s="772"/>
    </row>
    <row r="928">
      <c r="X928" s="771"/>
      <c r="Y928" s="772"/>
    </row>
    <row r="929">
      <c r="X929" s="771"/>
      <c r="Y929" s="772"/>
    </row>
    <row r="930">
      <c r="X930" s="771"/>
      <c r="Y930" s="772"/>
    </row>
    <row r="931">
      <c r="X931" s="771"/>
      <c r="Y931" s="772"/>
    </row>
    <row r="932">
      <c r="X932" s="771"/>
      <c r="Y932" s="772"/>
    </row>
    <row r="933">
      <c r="X933" s="771"/>
      <c r="Y933" s="772"/>
    </row>
    <row r="934">
      <c r="X934" s="771"/>
      <c r="Y934" s="772"/>
    </row>
    <row r="935">
      <c r="X935" s="771"/>
      <c r="Y935" s="772"/>
    </row>
    <row r="936">
      <c r="X936" s="771"/>
      <c r="Y936" s="772"/>
    </row>
    <row r="937">
      <c r="X937" s="771"/>
      <c r="Y937" s="772"/>
    </row>
    <row r="938">
      <c r="X938" s="771"/>
      <c r="Y938" s="772"/>
    </row>
    <row r="939">
      <c r="X939" s="771"/>
      <c r="Y939" s="772"/>
    </row>
    <row r="940">
      <c r="X940" s="771"/>
      <c r="Y940" s="772"/>
    </row>
    <row r="941">
      <c r="X941" s="771"/>
      <c r="Y941" s="772"/>
    </row>
    <row r="942">
      <c r="X942" s="771"/>
      <c r="Y942" s="772"/>
    </row>
    <row r="943">
      <c r="X943" s="771"/>
      <c r="Y943" s="772"/>
    </row>
    <row r="944">
      <c r="X944" s="771"/>
      <c r="Y944" s="772"/>
    </row>
    <row r="945">
      <c r="X945" s="771"/>
      <c r="Y945" s="772"/>
    </row>
    <row r="946">
      <c r="X946" s="771"/>
      <c r="Y946" s="772"/>
    </row>
    <row r="947">
      <c r="X947" s="771"/>
      <c r="Y947" s="772"/>
    </row>
    <row r="948">
      <c r="X948" s="771"/>
      <c r="Y948" s="772"/>
    </row>
    <row r="949">
      <c r="X949" s="771"/>
      <c r="Y949" s="772"/>
    </row>
    <row r="950">
      <c r="X950" s="771"/>
      <c r="Y950" s="772"/>
    </row>
    <row r="951">
      <c r="X951" s="771"/>
      <c r="Y951" s="772"/>
    </row>
    <row r="952">
      <c r="X952" s="771"/>
      <c r="Y952" s="772"/>
    </row>
    <row r="953">
      <c r="X953" s="771"/>
      <c r="Y953" s="772"/>
    </row>
    <row r="954">
      <c r="X954" s="771"/>
      <c r="Y954" s="772"/>
    </row>
    <row r="955">
      <c r="X955" s="771"/>
      <c r="Y955" s="772"/>
    </row>
    <row r="956">
      <c r="X956" s="771"/>
      <c r="Y956" s="772"/>
    </row>
    <row r="957">
      <c r="X957" s="771"/>
      <c r="Y957" s="772"/>
    </row>
    <row r="958">
      <c r="X958" s="771"/>
      <c r="Y958" s="772"/>
    </row>
    <row r="959">
      <c r="X959" s="771"/>
      <c r="Y959" s="772"/>
    </row>
    <row r="960">
      <c r="X960" s="771"/>
      <c r="Y960" s="772"/>
    </row>
    <row r="961">
      <c r="X961" s="771"/>
      <c r="Y961" s="772"/>
    </row>
    <row r="962">
      <c r="X962" s="771"/>
      <c r="Y962" s="772"/>
    </row>
    <row r="963">
      <c r="X963" s="771"/>
      <c r="Y963" s="772"/>
    </row>
    <row r="964">
      <c r="X964" s="771"/>
      <c r="Y964" s="772"/>
    </row>
    <row r="965">
      <c r="X965" s="771"/>
      <c r="Y965" s="772"/>
    </row>
    <row r="966">
      <c r="X966" s="771"/>
      <c r="Y966" s="772"/>
    </row>
    <row r="967">
      <c r="X967" s="771"/>
      <c r="Y967" s="772"/>
    </row>
    <row r="968">
      <c r="X968" s="771"/>
      <c r="Y968" s="772"/>
    </row>
    <row r="969">
      <c r="X969" s="771"/>
      <c r="Y969" s="772"/>
    </row>
    <row r="970">
      <c r="X970" s="771"/>
      <c r="Y970" s="772"/>
    </row>
    <row r="971">
      <c r="X971" s="771"/>
      <c r="Y971" s="772"/>
    </row>
    <row r="972">
      <c r="X972" s="771"/>
      <c r="Y972" s="772"/>
    </row>
    <row r="973">
      <c r="X973" s="771"/>
      <c r="Y973" s="772"/>
    </row>
    <row r="974">
      <c r="X974" s="771"/>
      <c r="Y974" s="772"/>
    </row>
    <row r="975">
      <c r="X975" s="771"/>
      <c r="Y975" s="772"/>
    </row>
    <row r="976">
      <c r="X976" s="771"/>
      <c r="Y976" s="772"/>
    </row>
    <row r="977">
      <c r="X977" s="771"/>
      <c r="Y977" s="772"/>
    </row>
    <row r="978">
      <c r="X978" s="771"/>
      <c r="Y978" s="772"/>
    </row>
    <row r="979">
      <c r="X979" s="771"/>
      <c r="Y979" s="772"/>
    </row>
    <row r="980">
      <c r="X980" s="771"/>
      <c r="Y980" s="772"/>
    </row>
    <row r="981">
      <c r="X981" s="771"/>
      <c r="Y981" s="772"/>
    </row>
    <row r="982">
      <c r="X982" s="771"/>
      <c r="Y982" s="772"/>
    </row>
    <row r="983">
      <c r="X983" s="771"/>
      <c r="Y983" s="772"/>
    </row>
    <row r="984">
      <c r="X984" s="771"/>
      <c r="Y984" s="772"/>
    </row>
    <row r="985">
      <c r="X985" s="771"/>
      <c r="Y985" s="772"/>
    </row>
    <row r="986">
      <c r="X986" s="771"/>
      <c r="Y986" s="772"/>
    </row>
    <row r="987">
      <c r="X987" s="771"/>
      <c r="Y987" s="772"/>
    </row>
    <row r="988">
      <c r="X988" s="771"/>
      <c r="Y988" s="772"/>
    </row>
    <row r="989">
      <c r="X989" s="771"/>
      <c r="Y989" s="772"/>
    </row>
    <row r="990">
      <c r="X990" s="771"/>
      <c r="Y990" s="772"/>
    </row>
    <row r="991">
      <c r="X991" s="771"/>
      <c r="Y991" s="772"/>
    </row>
    <row r="992">
      <c r="X992" s="771"/>
      <c r="Y992" s="772"/>
    </row>
    <row r="993">
      <c r="X993" s="771"/>
      <c r="Y993" s="772"/>
    </row>
    <row r="994">
      <c r="X994" s="771"/>
      <c r="Y994" s="772"/>
    </row>
    <row r="995">
      <c r="X995" s="771"/>
      <c r="Y995" s="772"/>
    </row>
    <row r="996">
      <c r="X996" s="771"/>
      <c r="Y996" s="772"/>
    </row>
    <row r="997">
      <c r="X997" s="771"/>
      <c r="Y997" s="772"/>
    </row>
    <row r="998">
      <c r="X998" s="771"/>
      <c r="Y998" s="772"/>
    </row>
    <row r="999">
      <c r="X999" s="771"/>
      <c r="Y999" s="772"/>
    </row>
    <row r="1000">
      <c r="X1000" s="771"/>
      <c r="Y1000" s="772"/>
    </row>
    <row r="1001">
      <c r="X1001" s="771"/>
      <c r="Y1001" s="772"/>
    </row>
    <row r="1002">
      <c r="X1002" s="771"/>
      <c r="Y1002" s="772"/>
    </row>
    <row r="1003">
      <c r="X1003" s="771"/>
      <c r="Y1003" s="772"/>
    </row>
    <row r="1004">
      <c r="X1004" s="771"/>
      <c r="Y1004" s="772"/>
    </row>
    <row r="1005">
      <c r="X1005" s="771"/>
      <c r="Y1005" s="772"/>
    </row>
    <row r="1006">
      <c r="X1006" s="771"/>
    </row>
  </sheetData>
  <mergeCells count="1">
    <mergeCell ref="A1:D1"/>
  </mergeCells>
  <drawing r:id="rId2"/>
  <legacyDrawing r:id="rId3"/>
</worksheet>
</file>